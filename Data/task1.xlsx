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1-link-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<sst xmlns="http://schemas.openxmlformats.org/spreadsheetml/2006/main" count="16" uniqueCount="16">
  <si>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link_id</t>
  </si>
  <si>
    <t xml:space="preserve">init_node</t>
  </si>
  <si>
    <t xml:space="preserve">term_node</t>
  </si>
  <si>
    <t xml:space="preserve">capacity</t>
  </si>
  <si>
    <t xml:space="preserve">length</t>
  </si>
  <si>
    <t xml:space="preserve">free_flow_time</t>
  </si>
  <si>
    <t xml:space="preserve">b</t>
  </si>
  <si>
    <t xml:space="preserve">power</t>
  </si>
  <si>
    <t xml:space="preserve">speed</t>
  </si>
  <si>
    <t xml:space="preserve">toll</t>
  </si>
  <si>
    <t xml:space="preserve">link_type</t>
  </si>
  <si>
    <t xml:space="preserve">link_tt</t>
  </si>
  <si>
    <t xml:space="preserve">link_flows</t>
  </si>
  <si>
    <t xml:space="preserve">v/c</t>
  </si>
  <si>
    <t xml:space="preserve">Total System TT</t>
  </si>
  <si>
    <t xml:space="preserve">Average TT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</si>
</sst>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ED1C24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ED1C24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20" activeCellId="0" sqref="T20"/>
    </sheetView>
  </sheetViews>
  <sheetFormatPr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6.71"/>
    <col collapsed="false" customWidth="true" hidden="false" outlineLevel="0" max="3" min="3" style="0" width="8.79"/>
    <col collapsed="false" customWidth="true" hidden="false" outlineLevel="0" max="4" min="4" style="0" width="10.05"/>
    <col collapsed="false" customWidth="true" hidden="false" outlineLevel="0" max="5" min="5" style="0" width="8.38"/>
    <col collapsed="false" customWidth="true" hidden="false" outlineLevel="0" max="6" min="6" style="0" width="6.43"/>
    <col collapsed="false" customWidth="true" hidden="false" outlineLevel="0" max="7" min="7" style="0" width="13.24"/>
    <col collapsed="false" customWidth="true" hidden="false" outlineLevel="0" max="8" min="8" style="0" width="5.04"/>
    <col collapsed="false" customWidth="true" hidden="false" outlineLevel="0" max="9" min="9" style="0" width="6.29"/>
    <col collapsed="false" customWidth="true" hidden="false" outlineLevel="0" max="10" min="10" style="0" width="6.43"/>
    <col collapsed="false" customWidth="true" hidden="false" outlineLevel="0" max="11" min="11" style="0" width="3.93"/>
    <col collapsed="false" customWidth="true" hidden="false" outlineLevel="0" max="12" min="12" style="0" width="8.79"/>
    <col collapsed="false" customWidth="true" hidden="false" outlineLevel="0" max="13" min="13" style="0" width="16.71"/>
    <col collapsed="false" customWidth="false" hidden="false" outlineLevel="0" max="16" min="14" style="0" width="11.52"/>
    <col collapsed="false" customWidth="true" hidden="false" outlineLevel="0" max="17" min="17" style="0" width="15.46"/>
    <col collapsed="false" customWidth="false" hidden="false" outlineLevel="0" max="1025" min="18" style="0" width="11.52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1" t="s">
        <v>11</v>
      </c>
      <c r="N1" s="1" t="s">
        <v>12</v>
      </c>
      <c r="O1" s="1" t="s">
        <v>13</v>
      </c>
    </row>
    <row r="2" customFormat="false" ht="12.8" hidden="false" customHeight="false" outlineLevel="0" collapsed="false">
      <c r="A2" s="0" t="n">
        <v>0</v>
      </c>
      <c r="B2" s="0" t="n">
        <v>1</v>
      </c>
      <c r="C2" s="0" t="n">
        <v>1</v>
      </c>
      <c r="D2" s="0" t="n">
        <v>2</v>
      </c>
      <c r="E2" s="0" t="n">
        <v>25900</v>
      </c>
      <c r="F2" s="0" t="n">
        <v>6</v>
      </c>
      <c r="G2" s="0" t="n">
        <v>6</v>
      </c>
      <c r="H2" s="0" t="n">
        <v>0.15</v>
      </c>
      <c r="I2" s="0" t="n">
        <v>4</v>
      </c>
      <c r="J2" s="0" t="n">
        <v>0</v>
      </c>
      <c r="K2" s="0" t="n">
        <v>0</v>
      </c>
      <c r="L2" s="0" t="n">
        <v>1</v>
      </c>
      <c r="M2" s="2" t="n">
        <v>6.00174432596523</v>
      </c>
      <c r="N2" s="2" t="n">
        <v>5434.33050888125</v>
      </c>
      <c r="O2" s="3" t="n">
        <f aca="false">N2/E2</f>
        <v>0.209819710767616</v>
      </c>
    </row>
    <row r="3" customFormat="false" ht="12.8" hidden="false" customHeight="false" outlineLevel="0" collapsed="false">
      <c r="A3" s="0" t="n">
        <v>1</v>
      </c>
      <c r="B3" s="0" t="n">
        <v>2</v>
      </c>
      <c r="C3" s="0" t="n">
        <v>1</v>
      </c>
      <c r="D3" s="0" t="n">
        <v>3</v>
      </c>
      <c r="E3" s="0" t="n">
        <v>23403</v>
      </c>
      <c r="F3" s="0" t="n">
        <v>4</v>
      </c>
      <c r="G3" s="0" t="n">
        <v>4</v>
      </c>
      <c r="H3" s="0" t="n">
        <v>0.15</v>
      </c>
      <c r="I3" s="0" t="n">
        <v>4</v>
      </c>
      <c r="J3" s="0" t="n">
        <v>0</v>
      </c>
      <c r="K3" s="0" t="n">
        <v>0</v>
      </c>
      <c r="L3" s="0" t="n">
        <v>1</v>
      </c>
      <c r="M3" s="2" t="n">
        <v>4.01557514048135</v>
      </c>
      <c r="N3" s="2" t="n">
        <v>9393.80873015873</v>
      </c>
      <c r="O3" s="3" t="n">
        <f aca="false">N3/E3</f>
        <v>0.401393356841376</v>
      </c>
    </row>
    <row r="4" customFormat="false" ht="12.8" hidden="false" customHeight="false" outlineLevel="0" collapsed="false">
      <c r="A4" s="0" t="n">
        <v>2</v>
      </c>
      <c r="B4" s="0" t="n">
        <v>3</v>
      </c>
      <c r="C4" s="0" t="n">
        <v>2</v>
      </c>
      <c r="D4" s="0" t="n">
        <v>1</v>
      </c>
      <c r="E4" s="0" t="n">
        <v>25900</v>
      </c>
      <c r="F4" s="0" t="n">
        <v>6</v>
      </c>
      <c r="G4" s="0" t="n">
        <v>6</v>
      </c>
      <c r="H4" s="0" t="n">
        <v>0.15</v>
      </c>
      <c r="I4" s="0" t="n">
        <v>4</v>
      </c>
      <c r="J4" s="0" t="n">
        <v>0</v>
      </c>
      <c r="K4" s="0" t="n">
        <v>0</v>
      </c>
      <c r="L4" s="0" t="n">
        <v>1</v>
      </c>
      <c r="M4" s="2" t="n">
        <v>6.00232947239</v>
      </c>
      <c r="N4" s="2" t="n">
        <v>5841.89206349209</v>
      </c>
      <c r="O4" s="3" t="n">
        <f aca="false">N4/E4</f>
        <v>0.225555678127108</v>
      </c>
    </row>
    <row r="5" customFormat="false" ht="12.8" hidden="false" customHeight="false" outlineLevel="0" collapsed="false">
      <c r="A5" s="0" t="n">
        <v>3</v>
      </c>
      <c r="B5" s="0" t="n">
        <v>4</v>
      </c>
      <c r="C5" s="0" t="n">
        <v>2</v>
      </c>
      <c r="D5" s="0" t="n">
        <v>6</v>
      </c>
      <c r="E5" s="0" t="n">
        <v>4958</v>
      </c>
      <c r="F5" s="0" t="n">
        <v>5</v>
      </c>
      <c r="G5" s="0" t="n">
        <v>5</v>
      </c>
      <c r="H5" s="0" t="n">
        <v>0.15</v>
      </c>
      <c r="I5" s="0" t="n">
        <v>4</v>
      </c>
      <c r="J5" s="0" t="n">
        <v>0</v>
      </c>
      <c r="K5" s="0" t="n">
        <v>0</v>
      </c>
      <c r="L5" s="0" t="n">
        <v>1</v>
      </c>
      <c r="M5" s="2" t="n">
        <v>6.41413580855555</v>
      </c>
      <c r="N5" s="2" t="n">
        <v>5809.83751395181</v>
      </c>
      <c r="O5" s="3" t="n">
        <f aca="false">N5/E5</f>
        <v>1.17181071277769</v>
      </c>
    </row>
    <row r="6" customFormat="false" ht="12.8" hidden="false" customHeight="false" outlineLevel="0" collapsed="false">
      <c r="A6" s="0" t="n">
        <v>4</v>
      </c>
      <c r="B6" s="0" t="n">
        <v>5</v>
      </c>
      <c r="C6" s="0" t="n">
        <v>3</v>
      </c>
      <c r="D6" s="0" t="n">
        <v>1</v>
      </c>
      <c r="E6" s="0" t="n">
        <v>23403</v>
      </c>
      <c r="F6" s="0" t="n">
        <v>4</v>
      </c>
      <c r="G6" s="0" t="n">
        <v>4</v>
      </c>
      <c r="H6" s="0" t="n">
        <v>0.15</v>
      </c>
      <c r="I6" s="0" t="n">
        <v>4</v>
      </c>
      <c r="J6" s="0" t="n">
        <v>0</v>
      </c>
      <c r="K6" s="0" t="n">
        <v>0</v>
      </c>
      <c r="L6" s="0" t="n">
        <v>1</v>
      </c>
      <c r="M6" s="2" t="n">
        <v>4.0130430320175</v>
      </c>
      <c r="N6" s="2" t="n">
        <v>8986.24717554788</v>
      </c>
      <c r="O6" s="3" t="n">
        <f aca="false">N6/E6</f>
        <v>0.383978429070968</v>
      </c>
    </row>
    <row r="7" customFormat="false" ht="12.8" hidden="false" customHeight="false" outlineLevel="0" collapsed="false">
      <c r="A7" s="0" t="n">
        <v>5</v>
      </c>
      <c r="B7" s="0" t="n">
        <v>6</v>
      </c>
      <c r="C7" s="0" t="n">
        <v>3</v>
      </c>
      <c r="D7" s="0" t="n">
        <v>4</v>
      </c>
      <c r="E7" s="0" t="n">
        <v>17111</v>
      </c>
      <c r="F7" s="0" t="n">
        <v>4</v>
      </c>
      <c r="G7" s="0" t="n">
        <v>4</v>
      </c>
      <c r="H7" s="0" t="n">
        <v>0.15</v>
      </c>
      <c r="I7" s="0" t="n">
        <v>4</v>
      </c>
      <c r="J7" s="0" t="n">
        <v>0</v>
      </c>
      <c r="K7" s="0" t="n">
        <v>0</v>
      </c>
      <c r="L7" s="0" t="n">
        <v>1</v>
      </c>
      <c r="M7" s="2" t="n">
        <v>4.46690125806484</v>
      </c>
      <c r="N7" s="2" t="n">
        <v>16071.0347342685</v>
      </c>
      <c r="O7" s="3" t="n">
        <f aca="false">N7/E7</f>
        <v>0.939222414485914</v>
      </c>
    </row>
    <row r="8" customFormat="false" ht="12.8" hidden="false" customHeight="false" outlineLevel="0" collapsed="false">
      <c r="A8" s="0" t="n">
        <v>6</v>
      </c>
      <c r="B8" s="0" t="n">
        <v>7</v>
      </c>
      <c r="C8" s="0" t="n">
        <v>3</v>
      </c>
      <c r="D8" s="0" t="n">
        <v>12</v>
      </c>
      <c r="E8" s="0" t="n">
        <v>23403</v>
      </c>
      <c r="F8" s="0" t="n">
        <v>4</v>
      </c>
      <c r="G8" s="0" t="n">
        <v>4</v>
      </c>
      <c r="H8" s="0" t="n">
        <v>0.15</v>
      </c>
      <c r="I8" s="0" t="n">
        <v>4</v>
      </c>
      <c r="J8" s="0" t="n">
        <v>0</v>
      </c>
      <c r="K8" s="0" t="n">
        <v>0</v>
      </c>
      <c r="L8" s="0" t="n">
        <v>1</v>
      </c>
      <c r="M8" s="2" t="n">
        <v>4.06478181304087</v>
      </c>
      <c r="N8" s="2" t="n">
        <v>13415.1951473654</v>
      </c>
      <c r="O8" s="3" t="n">
        <f aca="false">N8/E8</f>
        <v>0.573225447479614</v>
      </c>
    </row>
    <row r="9" customFormat="false" ht="12.8" hidden="false" customHeight="false" outlineLevel="0" collapsed="false">
      <c r="A9" s="0" t="n">
        <v>7</v>
      </c>
      <c r="B9" s="0" t="n">
        <v>8</v>
      </c>
      <c r="C9" s="0" t="n">
        <v>4</v>
      </c>
      <c r="D9" s="0" t="n">
        <v>3</v>
      </c>
      <c r="E9" s="0" t="n">
        <v>17111</v>
      </c>
      <c r="F9" s="0" t="n">
        <v>4</v>
      </c>
      <c r="G9" s="0" t="n">
        <v>4</v>
      </c>
      <c r="H9" s="0" t="n">
        <v>0.15</v>
      </c>
      <c r="I9" s="0" t="n">
        <v>4</v>
      </c>
      <c r="J9" s="0" t="n">
        <v>0</v>
      </c>
      <c r="K9" s="0" t="n">
        <v>0</v>
      </c>
      <c r="L9" s="0" t="n">
        <v>1</v>
      </c>
      <c r="M9" s="2" t="n">
        <v>4.58861786537395</v>
      </c>
      <c r="N9" s="2" t="n">
        <v>17029.2663631508</v>
      </c>
      <c r="O9" s="3" t="n">
        <f aca="false">N9/E9</f>
        <v>0.995223327868082</v>
      </c>
    </row>
    <row r="10" customFormat="false" ht="12.8" hidden="false" customHeight="false" outlineLevel="0" collapsed="false">
      <c r="A10" s="0" t="n">
        <v>8</v>
      </c>
      <c r="B10" s="0" t="n">
        <v>9</v>
      </c>
      <c r="C10" s="0" t="n">
        <v>4</v>
      </c>
      <c r="D10" s="0" t="n">
        <v>5</v>
      </c>
      <c r="E10" s="0" t="n">
        <v>17783</v>
      </c>
      <c r="F10" s="0" t="n">
        <v>2</v>
      </c>
      <c r="G10" s="0" t="n">
        <v>2</v>
      </c>
      <c r="H10" s="0" t="n">
        <v>0.15</v>
      </c>
      <c r="I10" s="0" t="n">
        <v>4</v>
      </c>
      <c r="J10" s="0" t="n">
        <v>0</v>
      </c>
      <c r="K10" s="0" t="n">
        <v>0</v>
      </c>
      <c r="L10" s="0" t="n">
        <v>1</v>
      </c>
      <c r="M10" s="2" t="n">
        <v>2.40167671919697</v>
      </c>
      <c r="N10" s="2" t="n">
        <v>19129.0710437922</v>
      </c>
      <c r="O10" s="3" t="n">
        <f aca="false">N10/E10</f>
        <v>1.07569426102414</v>
      </c>
    </row>
    <row r="11" customFormat="false" ht="12.8" hidden="false" customHeight="false" outlineLevel="0" collapsed="false">
      <c r="A11" s="0" t="n">
        <v>9</v>
      </c>
      <c r="B11" s="0" t="n">
        <v>10</v>
      </c>
      <c r="C11" s="0" t="n">
        <v>4</v>
      </c>
      <c r="D11" s="0" t="n">
        <v>11</v>
      </c>
      <c r="E11" s="0" t="n">
        <v>4909</v>
      </c>
      <c r="F11" s="0" t="n">
        <v>6</v>
      </c>
      <c r="G11" s="0" t="n">
        <v>6</v>
      </c>
      <c r="H11" s="0" t="n">
        <v>0.15</v>
      </c>
      <c r="I11" s="0" t="n">
        <v>4</v>
      </c>
      <c r="J11" s="0" t="n">
        <v>0</v>
      </c>
      <c r="K11" s="0" t="n">
        <v>0</v>
      </c>
      <c r="L11" s="0" t="n">
        <v>1</v>
      </c>
      <c r="M11" s="2" t="n">
        <v>8.24970460286816</v>
      </c>
      <c r="N11" s="2" t="n">
        <v>6172.53809523811</v>
      </c>
      <c r="O11" s="3" t="n">
        <f aca="false">N11/E11</f>
        <v>1.25739215629214</v>
      </c>
      <c r="Q11" s="4" t="s">
        <v>14</v>
      </c>
    </row>
    <row r="12" customFormat="false" ht="12.8" hidden="false" customHeight="false" outlineLevel="0" collapsed="false">
      <c r="A12" s="0" t="n">
        <v>10</v>
      </c>
      <c r="B12" s="0" t="n">
        <v>11</v>
      </c>
      <c r="C12" s="0" t="n">
        <v>5</v>
      </c>
      <c r="D12" s="0" t="n">
        <v>4</v>
      </c>
      <c r="E12" s="0" t="n">
        <v>17783</v>
      </c>
      <c r="F12" s="0" t="n">
        <v>2</v>
      </c>
      <c r="G12" s="0" t="n">
        <v>2</v>
      </c>
      <c r="H12" s="0" t="n">
        <v>0.15</v>
      </c>
      <c r="I12" s="0" t="n">
        <v>4</v>
      </c>
      <c r="J12" s="0" t="n">
        <v>0</v>
      </c>
      <c r="K12" s="0" t="n">
        <v>0</v>
      </c>
      <c r="L12" s="0" t="n">
        <v>1</v>
      </c>
      <c r="M12" s="2" t="n">
        <v>2.43049498107028</v>
      </c>
      <c r="N12" s="2" t="n">
        <v>19463.3117062102</v>
      </c>
      <c r="O12" s="3" t="n">
        <f aca="false">N12/E12</f>
        <v>1.0944897771023</v>
      </c>
      <c r="Q12" s="0" t="n">
        <f aca="false">SUMPRODUCT(N2:N77,M2:M77)</f>
        <v>7701439.4171729</v>
      </c>
    </row>
    <row r="13" customFormat="false" ht="12.8" hidden="false" customHeight="false" outlineLevel="0" collapsed="false">
      <c r="A13" s="0" t="n">
        <v>11</v>
      </c>
      <c r="B13" s="0" t="n">
        <v>12</v>
      </c>
      <c r="C13" s="0" t="n">
        <v>5</v>
      </c>
      <c r="D13" s="0" t="n">
        <v>6</v>
      </c>
      <c r="E13" s="0" t="n">
        <v>4948</v>
      </c>
      <c r="F13" s="0" t="n">
        <v>4</v>
      </c>
      <c r="G13" s="0" t="n">
        <v>4</v>
      </c>
      <c r="H13" s="0" t="n">
        <v>0.15</v>
      </c>
      <c r="I13" s="0" t="n">
        <v>4</v>
      </c>
      <c r="J13" s="0" t="n">
        <v>0</v>
      </c>
      <c r="K13" s="0" t="n">
        <v>0</v>
      </c>
      <c r="L13" s="0" t="n">
        <v>1</v>
      </c>
      <c r="M13" s="2" t="n">
        <v>9.56044064906521</v>
      </c>
      <c r="N13" s="2" t="n">
        <v>8633.14789194771</v>
      </c>
      <c r="O13" s="3" t="n">
        <f aca="false">N13/E13</f>
        <v>1.74477524089485</v>
      </c>
      <c r="Q13" s="4" t="s">
        <v>15</v>
      </c>
    </row>
    <row r="14" customFormat="false" ht="12.8" hidden="false" customHeight="false" outlineLevel="0" collapsed="false">
      <c r="A14" s="0" t="n">
        <v>12</v>
      </c>
      <c r="B14" s="0" t="n">
        <v>13</v>
      </c>
      <c r="C14" s="0" t="n">
        <v>5</v>
      </c>
      <c r="D14" s="0" t="n">
        <v>9</v>
      </c>
      <c r="E14" s="0" t="n">
        <v>10000</v>
      </c>
      <c r="F14" s="0" t="n">
        <v>5</v>
      </c>
      <c r="G14" s="0" t="n">
        <v>5</v>
      </c>
      <c r="H14" s="0" t="n">
        <v>0.15</v>
      </c>
      <c r="I14" s="0" t="n">
        <v>4</v>
      </c>
      <c r="J14" s="0" t="n">
        <v>0</v>
      </c>
      <c r="K14" s="0" t="n">
        <v>0</v>
      </c>
      <c r="L14" s="0" t="n">
        <v>1</v>
      </c>
      <c r="M14" s="2" t="n">
        <v>10.506325555549</v>
      </c>
      <c r="N14" s="2" t="n">
        <v>16460.7703288248</v>
      </c>
      <c r="O14" s="3" t="n">
        <f aca="false">N14/E14</f>
        <v>1.64607703288248</v>
      </c>
      <c r="Q14" s="0" t="n">
        <f aca="false">Q12/360600</f>
        <v>21.3572917836187</v>
      </c>
    </row>
    <row r="15" customFormat="false" ht="12.8" hidden="false" customHeight="false" outlineLevel="0" collapsed="false">
      <c r="A15" s="0" t="n">
        <v>13</v>
      </c>
      <c r="B15" s="0" t="n">
        <v>14</v>
      </c>
      <c r="C15" s="0" t="n">
        <v>6</v>
      </c>
      <c r="D15" s="0" t="n">
        <v>2</v>
      </c>
      <c r="E15" s="0" t="n">
        <v>4958</v>
      </c>
      <c r="F15" s="0" t="n">
        <v>5</v>
      </c>
      <c r="G15" s="0" t="n">
        <v>5</v>
      </c>
      <c r="H15" s="0" t="n">
        <v>0.15</v>
      </c>
      <c r="I15" s="0" t="n">
        <v>4</v>
      </c>
      <c r="J15" s="0" t="n">
        <v>0</v>
      </c>
      <c r="K15" s="0" t="n">
        <v>0</v>
      </c>
      <c r="L15" s="0" t="n">
        <v>1</v>
      </c>
      <c r="M15" s="2" t="n">
        <v>6.85468495410814</v>
      </c>
      <c r="N15" s="2" t="n">
        <v>6217.39906856265</v>
      </c>
      <c r="O15" s="3" t="n">
        <f aca="false">N15/E15</f>
        <v>1.2540135273422</v>
      </c>
    </row>
    <row r="16" customFormat="false" ht="12.8" hidden="false" customHeight="false" outlineLevel="0" collapsed="false">
      <c r="A16" s="0" t="n">
        <v>14</v>
      </c>
      <c r="B16" s="0" t="n">
        <v>15</v>
      </c>
      <c r="C16" s="0" t="n">
        <v>6</v>
      </c>
      <c r="D16" s="0" t="n">
        <v>5</v>
      </c>
      <c r="E16" s="0" t="n">
        <v>4948</v>
      </c>
      <c r="F16" s="0" t="n">
        <v>4</v>
      </c>
      <c r="G16" s="0" t="n">
        <v>4</v>
      </c>
      <c r="H16" s="0" t="n">
        <v>0.15</v>
      </c>
      <c r="I16" s="0" t="n">
        <v>4</v>
      </c>
      <c r="J16" s="0" t="n">
        <v>0</v>
      </c>
      <c r="K16" s="0" t="n">
        <v>0</v>
      </c>
      <c r="L16" s="0" t="n">
        <v>1</v>
      </c>
      <c r="M16" s="2" t="n">
        <v>9.07952427926161</v>
      </c>
      <c r="N16" s="2" t="n">
        <v>8440.10089836858</v>
      </c>
      <c r="O16" s="3" t="n">
        <f aca="false">N16/E16</f>
        <v>1.70576008455307</v>
      </c>
    </row>
    <row r="17" customFormat="false" ht="12.8" hidden="false" customHeight="false" outlineLevel="0" collapsed="false">
      <c r="A17" s="0" t="n">
        <v>15</v>
      </c>
      <c r="B17" s="5" t="n">
        <v>16</v>
      </c>
      <c r="C17" s="6" t="n">
        <v>6</v>
      </c>
      <c r="D17" s="6" t="n">
        <v>8</v>
      </c>
      <c r="E17" s="6" t="n">
        <v>4899</v>
      </c>
      <c r="F17" s="6" t="n">
        <v>2</v>
      </c>
      <c r="G17" s="6" t="n">
        <v>2</v>
      </c>
      <c r="H17" s="6" t="n">
        <v>0.15</v>
      </c>
      <c r="I17" s="6" t="n">
        <v>4</v>
      </c>
      <c r="J17" s="6" t="n">
        <v>0</v>
      </c>
      <c r="K17" s="6" t="n">
        <v>0</v>
      </c>
      <c r="L17" s="6" t="n">
        <v>1</v>
      </c>
      <c r="M17" s="2" t="n">
        <v>15.7012600183262</v>
      </c>
      <c r="N17" s="2" t="n">
        <v>12735.5367341622</v>
      </c>
      <c r="O17" s="3" t="n">
        <f aca="false">N17/E17</f>
        <v>2.59961966404617</v>
      </c>
    </row>
    <row r="18" customFormat="false" ht="12.8" hidden="false" customHeight="false" outlineLevel="0" collapsed="false">
      <c r="A18" s="0" t="n">
        <v>16</v>
      </c>
      <c r="B18" s="0" t="n">
        <v>17</v>
      </c>
      <c r="C18" s="0" t="n">
        <v>7</v>
      </c>
      <c r="D18" s="0" t="n">
        <v>8</v>
      </c>
      <c r="E18" s="0" t="n">
        <v>7842</v>
      </c>
      <c r="F18" s="0" t="n">
        <v>3</v>
      </c>
      <c r="G18" s="0" t="n">
        <v>3</v>
      </c>
      <c r="H18" s="0" t="n">
        <v>0.15</v>
      </c>
      <c r="I18" s="0" t="n">
        <v>4</v>
      </c>
      <c r="J18" s="0" t="n">
        <v>0</v>
      </c>
      <c r="K18" s="0" t="n">
        <v>0</v>
      </c>
      <c r="L18" s="0" t="n">
        <v>1</v>
      </c>
      <c r="M18" s="2" t="n">
        <v>5.86573738755424</v>
      </c>
      <c r="N18" s="2" t="n">
        <v>12457.5548190698</v>
      </c>
      <c r="O18" s="3" t="n">
        <f aca="false">N18/E18</f>
        <v>1.58856858187577</v>
      </c>
    </row>
    <row r="19" customFormat="false" ht="12.8" hidden="false" customHeight="false" outlineLevel="0" collapsed="false">
      <c r="A19" s="0" t="n">
        <v>17</v>
      </c>
      <c r="B19" s="0" t="n">
        <v>18</v>
      </c>
      <c r="C19" s="0" t="n">
        <v>7</v>
      </c>
      <c r="D19" s="0" t="n">
        <v>18</v>
      </c>
      <c r="E19" s="0" t="n">
        <v>23403</v>
      </c>
      <c r="F19" s="0" t="n">
        <v>2</v>
      </c>
      <c r="G19" s="0" t="n">
        <v>2</v>
      </c>
      <c r="H19" s="0" t="n">
        <v>0.15</v>
      </c>
      <c r="I19" s="0" t="n">
        <v>4</v>
      </c>
      <c r="J19" s="0" t="n">
        <v>0</v>
      </c>
      <c r="K19" s="0" t="n">
        <v>0</v>
      </c>
      <c r="L19" s="0" t="n">
        <v>1</v>
      </c>
      <c r="M19" s="2" t="n">
        <v>2.05530973988486</v>
      </c>
      <c r="N19" s="2" t="n">
        <v>15335.2769269618</v>
      </c>
      <c r="O19" s="3" t="n">
        <f aca="false">N19/E19</f>
        <v>0.655269705890773</v>
      </c>
    </row>
    <row r="20" customFormat="false" ht="12.8" hidden="false" customHeight="false" outlineLevel="0" collapsed="false">
      <c r="A20" s="0" t="n">
        <v>18</v>
      </c>
      <c r="B20" s="5" t="n">
        <v>19</v>
      </c>
      <c r="C20" s="6" t="n">
        <v>8</v>
      </c>
      <c r="D20" s="6" t="n">
        <v>6</v>
      </c>
      <c r="E20" s="6" t="n">
        <v>4899</v>
      </c>
      <c r="F20" s="6" t="n">
        <v>2</v>
      </c>
      <c r="G20" s="6" t="n">
        <v>2</v>
      </c>
      <c r="H20" s="6" t="n">
        <v>0.15</v>
      </c>
      <c r="I20" s="6" t="n">
        <v>4</v>
      </c>
      <c r="J20" s="6" t="n">
        <v>0</v>
      </c>
      <c r="K20" s="6" t="n">
        <v>0</v>
      </c>
      <c r="L20" s="6" t="n">
        <v>1</v>
      </c>
      <c r="M20" s="2" t="n">
        <v>16.6479703276093</v>
      </c>
      <c r="N20" s="2" t="n">
        <v>12950.0512951939</v>
      </c>
      <c r="O20" s="3" t="n">
        <f aca="false">N20/E20</f>
        <v>2.64340708209714</v>
      </c>
    </row>
    <row r="21" customFormat="false" ht="12.8" hidden="false" customHeight="false" outlineLevel="0" collapsed="false">
      <c r="A21" s="0" t="n">
        <v>19</v>
      </c>
      <c r="B21" s="0" t="n">
        <v>20</v>
      </c>
      <c r="C21" s="0" t="n">
        <v>8</v>
      </c>
      <c r="D21" s="0" t="n">
        <v>7</v>
      </c>
      <c r="E21" s="0" t="n">
        <v>7842</v>
      </c>
      <c r="F21" s="0" t="n">
        <v>3</v>
      </c>
      <c r="G21" s="0" t="n">
        <v>3</v>
      </c>
      <c r="H21" s="0" t="n">
        <v>0.15</v>
      </c>
      <c r="I21" s="0" t="n">
        <v>4</v>
      </c>
      <c r="J21" s="0" t="n">
        <v>0</v>
      </c>
      <c r="K21" s="0" t="n">
        <v>0</v>
      </c>
      <c r="L21" s="0" t="n">
        <v>1</v>
      </c>
      <c r="M21" s="2" t="n">
        <v>6.07324759890921</v>
      </c>
      <c r="N21" s="2" t="n">
        <v>12677.1928571428</v>
      </c>
      <c r="O21" s="3" t="n">
        <f aca="false">N21/E21</f>
        <v>1.61657649287717</v>
      </c>
    </row>
    <row r="22" customFormat="false" ht="12.8" hidden="false" customHeight="false" outlineLevel="0" collapsed="false">
      <c r="A22" s="0" t="n">
        <v>20</v>
      </c>
      <c r="B22" s="0" t="n">
        <v>21</v>
      </c>
      <c r="C22" s="0" t="n">
        <v>8</v>
      </c>
      <c r="D22" s="0" t="n">
        <v>9</v>
      </c>
      <c r="E22" s="0" t="n">
        <v>5050</v>
      </c>
      <c r="F22" s="0" t="n">
        <v>10</v>
      </c>
      <c r="G22" s="0" t="n">
        <v>10</v>
      </c>
      <c r="H22" s="0" t="n">
        <v>0.15</v>
      </c>
      <c r="I22" s="0" t="n">
        <v>4</v>
      </c>
      <c r="J22" s="0" t="n">
        <v>0</v>
      </c>
      <c r="K22" s="0" t="n">
        <v>0</v>
      </c>
      <c r="L22" s="0" t="n">
        <v>1</v>
      </c>
      <c r="M22" s="2" t="n">
        <v>15.293312376387</v>
      </c>
      <c r="N22" s="2" t="n">
        <v>6921.50352387583</v>
      </c>
      <c r="O22" s="3" t="n">
        <f aca="false">N22/E22</f>
        <v>1.37059475720313</v>
      </c>
    </row>
    <row r="23" customFormat="false" ht="12.8" hidden="false" customHeight="false" outlineLevel="0" collapsed="false">
      <c r="A23" s="0" t="n">
        <v>21</v>
      </c>
      <c r="B23" s="0" t="n">
        <v>22</v>
      </c>
      <c r="C23" s="0" t="n">
        <v>8</v>
      </c>
      <c r="D23" s="0" t="n">
        <v>16</v>
      </c>
      <c r="E23" s="0" t="n">
        <v>5046</v>
      </c>
      <c r="F23" s="0" t="n">
        <v>5</v>
      </c>
      <c r="G23" s="0" t="n">
        <v>5</v>
      </c>
      <c r="H23" s="0" t="n">
        <v>0.15</v>
      </c>
      <c r="I23" s="0" t="n">
        <v>4</v>
      </c>
      <c r="J23" s="0" t="n">
        <v>0</v>
      </c>
      <c r="K23" s="0" t="n">
        <v>0</v>
      </c>
      <c r="L23" s="0" t="n">
        <v>1</v>
      </c>
      <c r="M23" s="2" t="n">
        <v>10.4968883175694</v>
      </c>
      <c r="N23" s="2" t="n">
        <v>8302.54348019399</v>
      </c>
      <c r="O23" s="3" t="n">
        <f aca="false">N23/E23</f>
        <v>1.6453712802604</v>
      </c>
    </row>
    <row r="24" customFormat="false" ht="12.8" hidden="false" customHeight="false" outlineLevel="0" collapsed="false">
      <c r="A24" s="0" t="n">
        <v>22</v>
      </c>
      <c r="B24" s="0" t="n">
        <v>23</v>
      </c>
      <c r="C24" s="0" t="n">
        <v>9</v>
      </c>
      <c r="D24" s="0" t="n">
        <v>5</v>
      </c>
      <c r="E24" s="0" t="n">
        <v>10000</v>
      </c>
      <c r="F24" s="0" t="n">
        <v>5</v>
      </c>
      <c r="G24" s="0" t="n">
        <v>5</v>
      </c>
      <c r="H24" s="0" t="n">
        <v>0.15</v>
      </c>
      <c r="I24" s="0" t="n">
        <v>4</v>
      </c>
      <c r="J24" s="0" t="n">
        <v>0</v>
      </c>
      <c r="K24" s="0" t="n">
        <v>0</v>
      </c>
      <c r="L24" s="0" t="n">
        <v>1</v>
      </c>
      <c r="M24" s="2" t="n">
        <v>11.2464922017999</v>
      </c>
      <c r="N24" s="2" t="n">
        <v>16988.0579848219</v>
      </c>
      <c r="O24" s="3" t="n">
        <f aca="false">N24/E24</f>
        <v>1.69880579848219</v>
      </c>
    </row>
    <row r="25" customFormat="false" ht="12.8" hidden="false" customHeight="false" outlineLevel="0" collapsed="false">
      <c r="A25" s="0" t="n">
        <v>23</v>
      </c>
      <c r="B25" s="0" t="n">
        <v>24</v>
      </c>
      <c r="C25" s="0" t="n">
        <v>9</v>
      </c>
      <c r="D25" s="0" t="n">
        <v>8</v>
      </c>
      <c r="E25" s="0" t="n">
        <v>5050</v>
      </c>
      <c r="F25" s="0" t="n">
        <v>10</v>
      </c>
      <c r="G25" s="0" t="n">
        <v>10</v>
      </c>
      <c r="H25" s="0" t="n">
        <v>0.15</v>
      </c>
      <c r="I25" s="0" t="n">
        <v>4</v>
      </c>
      <c r="J25" s="0" t="n">
        <v>0</v>
      </c>
      <c r="K25" s="0" t="n">
        <v>0</v>
      </c>
      <c r="L25" s="0" t="n">
        <v>1</v>
      </c>
      <c r="M25" s="2" t="n">
        <v>15.9795979224583</v>
      </c>
      <c r="N25" s="2" t="n">
        <v>7135.69960317457</v>
      </c>
      <c r="O25" s="3" t="n">
        <f aca="false">N25/E25</f>
        <v>1.41300982241081</v>
      </c>
    </row>
    <row r="26" customFormat="false" ht="12.8" hidden="false" customHeight="false" outlineLevel="0" collapsed="false">
      <c r="A26" s="0" t="n">
        <v>24</v>
      </c>
      <c r="B26" s="0" t="n">
        <v>25</v>
      </c>
      <c r="C26" s="0" t="n">
        <v>9</v>
      </c>
      <c r="D26" s="0" t="n">
        <v>10</v>
      </c>
      <c r="E26" s="0" t="n">
        <v>13916</v>
      </c>
      <c r="F26" s="0" t="n">
        <v>3</v>
      </c>
      <c r="G26" s="0" t="n">
        <v>3</v>
      </c>
      <c r="H26" s="0" t="n">
        <v>0.15</v>
      </c>
      <c r="I26" s="0" t="n">
        <v>4</v>
      </c>
      <c r="J26" s="0" t="n">
        <v>0</v>
      </c>
      <c r="K26" s="0" t="n">
        <v>0</v>
      </c>
      <c r="L26" s="0" t="n">
        <v>1</v>
      </c>
      <c r="M26" s="2" t="n">
        <v>6.37894147931628</v>
      </c>
      <c r="N26" s="2" t="n">
        <v>23035.9676082124</v>
      </c>
      <c r="O26" s="3" t="n">
        <f aca="false">N26/E26</f>
        <v>1.65535840817853</v>
      </c>
    </row>
    <row r="27" customFormat="false" ht="12.8" hidden="false" customHeight="false" outlineLevel="0" collapsed="false">
      <c r="A27" s="0" t="n">
        <v>25</v>
      </c>
      <c r="B27" s="0" t="n">
        <v>26</v>
      </c>
      <c r="C27" s="0" t="n">
        <v>10</v>
      </c>
      <c r="D27" s="0" t="n">
        <v>9</v>
      </c>
      <c r="E27" s="0" t="n">
        <v>13916</v>
      </c>
      <c r="F27" s="0" t="n">
        <v>3</v>
      </c>
      <c r="G27" s="0" t="n">
        <v>3</v>
      </c>
      <c r="H27" s="0" t="n">
        <v>0.15</v>
      </c>
      <c r="I27" s="0" t="n">
        <v>4</v>
      </c>
      <c r="J27" s="0" t="n">
        <v>0</v>
      </c>
      <c r="K27" s="0" t="n">
        <v>0</v>
      </c>
      <c r="L27" s="0" t="n">
        <v>1</v>
      </c>
      <c r="M27" s="2" t="n">
        <v>6.90037809277786</v>
      </c>
      <c r="N27" s="2" t="n">
        <v>23877.451343508</v>
      </c>
      <c r="O27" s="3" t="n">
        <f aca="false">N27/E27</f>
        <v>1.71582720203421</v>
      </c>
    </row>
    <row r="28" customFormat="false" ht="12.8" hidden="false" customHeight="false" outlineLevel="0" collapsed="false">
      <c r="A28" s="0" t="n">
        <v>26</v>
      </c>
      <c r="B28" s="0" t="n">
        <v>27</v>
      </c>
      <c r="C28" s="0" t="n">
        <v>10</v>
      </c>
      <c r="D28" s="0" t="n">
        <v>11</v>
      </c>
      <c r="E28" s="0" t="n">
        <v>10000</v>
      </c>
      <c r="F28" s="0" t="n">
        <v>5</v>
      </c>
      <c r="G28" s="0" t="n">
        <v>5</v>
      </c>
      <c r="H28" s="0" t="n">
        <v>0.15</v>
      </c>
      <c r="I28" s="0" t="n">
        <v>4</v>
      </c>
      <c r="J28" s="0" t="n">
        <v>0</v>
      </c>
      <c r="K28" s="0" t="n">
        <v>0</v>
      </c>
      <c r="L28" s="0" t="n">
        <v>1</v>
      </c>
      <c r="M28" s="2" t="n">
        <v>12.3272001975569</v>
      </c>
      <c r="N28" s="2" t="n">
        <v>17679.4682539682</v>
      </c>
      <c r="O28" s="3" t="n">
        <f aca="false">N28/E28</f>
        <v>1.76794682539682</v>
      </c>
    </row>
    <row r="29" customFormat="false" ht="12.8" hidden="false" customHeight="false" outlineLevel="0" collapsed="false">
      <c r="A29" s="0" t="n">
        <v>27</v>
      </c>
      <c r="B29" s="0" t="n">
        <v>28</v>
      </c>
      <c r="C29" s="0" t="n">
        <v>10</v>
      </c>
      <c r="D29" s="0" t="n">
        <v>15</v>
      </c>
      <c r="E29" s="0" t="n">
        <v>13512</v>
      </c>
      <c r="F29" s="0" t="n">
        <v>6</v>
      </c>
      <c r="G29" s="0" t="n">
        <v>6</v>
      </c>
      <c r="H29" s="0" t="n">
        <v>0.15</v>
      </c>
      <c r="I29" s="0" t="n">
        <v>4</v>
      </c>
      <c r="J29" s="0" t="n">
        <v>0</v>
      </c>
      <c r="K29" s="0" t="n">
        <v>0</v>
      </c>
      <c r="L29" s="0" t="n">
        <v>1</v>
      </c>
      <c r="M29" s="2" t="n">
        <v>13.1067816561533</v>
      </c>
      <c r="N29" s="2" t="n">
        <v>22650.4717872655</v>
      </c>
      <c r="O29" s="3" t="n">
        <f aca="false">N29/E29</f>
        <v>1.67632266039561</v>
      </c>
    </row>
    <row r="30" customFormat="false" ht="12.8" hidden="false" customHeight="false" outlineLevel="0" collapsed="false">
      <c r="A30" s="0" t="n">
        <v>28</v>
      </c>
      <c r="B30" s="0" t="n">
        <v>29</v>
      </c>
      <c r="C30" s="0" t="n">
        <v>10</v>
      </c>
      <c r="D30" s="0" t="n">
        <v>16</v>
      </c>
      <c r="E30" s="0" t="n">
        <v>4855</v>
      </c>
      <c r="F30" s="0" t="n">
        <v>4</v>
      </c>
      <c r="G30" s="0" t="n">
        <v>4</v>
      </c>
      <c r="H30" s="0" t="n">
        <v>0.15</v>
      </c>
      <c r="I30" s="0" t="n">
        <v>4</v>
      </c>
      <c r="J30" s="0" t="n">
        <v>0</v>
      </c>
      <c r="K30" s="0" t="n">
        <v>0</v>
      </c>
      <c r="L30" s="0" t="n">
        <v>1</v>
      </c>
      <c r="M30" s="2" t="n">
        <v>20.5361892291873</v>
      </c>
      <c r="N30" s="2" t="n">
        <v>11123.9820654408</v>
      </c>
      <c r="O30" s="3" t="n">
        <f aca="false">N30/E30</f>
        <v>2.29124244396309</v>
      </c>
    </row>
    <row r="31" customFormat="false" ht="12.8" hidden="false" customHeight="false" outlineLevel="0" collapsed="false">
      <c r="A31" s="0" t="n">
        <v>29</v>
      </c>
      <c r="B31" s="0" t="n">
        <v>30</v>
      </c>
      <c r="C31" s="0" t="n">
        <v>10</v>
      </c>
      <c r="D31" s="0" t="n">
        <v>17</v>
      </c>
      <c r="E31" s="0" t="n">
        <v>4994</v>
      </c>
      <c r="F31" s="0" t="n">
        <v>8</v>
      </c>
      <c r="G31" s="0" t="n">
        <v>8</v>
      </c>
      <c r="H31" s="0" t="n">
        <v>0.15</v>
      </c>
      <c r="I31" s="0" t="n">
        <v>4</v>
      </c>
      <c r="J31" s="0" t="n">
        <v>0</v>
      </c>
      <c r="K31" s="0" t="n">
        <v>0</v>
      </c>
      <c r="L31" s="0" t="n">
        <v>1</v>
      </c>
      <c r="M31" s="2" t="n">
        <v>15.0845127445443</v>
      </c>
      <c r="N31" s="2" t="n">
        <v>7784.50000000002</v>
      </c>
      <c r="O31" s="3" t="n">
        <f aca="false">N31/E31</f>
        <v>1.55877052462956</v>
      </c>
    </row>
    <row r="32" customFormat="false" ht="12.8" hidden="false" customHeight="false" outlineLevel="0" collapsed="false">
      <c r="A32" s="0" t="n">
        <v>30</v>
      </c>
      <c r="B32" s="0" t="n">
        <v>31</v>
      </c>
      <c r="C32" s="0" t="n">
        <v>11</v>
      </c>
      <c r="D32" s="0" t="n">
        <v>4</v>
      </c>
      <c r="E32" s="0" t="n">
        <v>4909</v>
      </c>
      <c r="F32" s="0" t="n">
        <v>6</v>
      </c>
      <c r="G32" s="0" t="n">
        <v>6</v>
      </c>
      <c r="H32" s="0" t="n">
        <v>0.15</v>
      </c>
      <c r="I32" s="0" t="n">
        <v>4</v>
      </c>
      <c r="J32" s="0" t="n">
        <v>0</v>
      </c>
      <c r="K32" s="0" t="n">
        <v>0</v>
      </c>
      <c r="L32" s="0" t="n">
        <v>1</v>
      </c>
      <c r="M32" s="2" t="n">
        <v>9.50584461595096</v>
      </c>
      <c r="N32" s="2" t="n">
        <v>6896.52906170239</v>
      </c>
      <c r="O32" s="3" t="n">
        <f aca="false">N32/E32</f>
        <v>1.40487452876398</v>
      </c>
    </row>
    <row r="33" customFormat="false" ht="12.8" hidden="false" customHeight="false" outlineLevel="0" collapsed="false">
      <c r="A33" s="0" t="n">
        <v>31</v>
      </c>
      <c r="B33" s="0" t="n">
        <v>32</v>
      </c>
      <c r="C33" s="0" t="n">
        <v>11</v>
      </c>
      <c r="D33" s="0" t="n">
        <v>10</v>
      </c>
      <c r="E33" s="0" t="n">
        <v>10000</v>
      </c>
      <c r="F33" s="0" t="n">
        <v>5</v>
      </c>
      <c r="G33" s="0" t="n">
        <v>5</v>
      </c>
      <c r="H33" s="0" t="n">
        <v>0.15</v>
      </c>
      <c r="I33" s="0" t="n">
        <v>4</v>
      </c>
      <c r="J33" s="0" t="n">
        <v>0</v>
      </c>
      <c r="K33" s="0" t="n">
        <v>0</v>
      </c>
      <c r="L33" s="0" t="n">
        <v>1</v>
      </c>
      <c r="M33" s="2" t="n">
        <v>12.8196348179522</v>
      </c>
      <c r="N33" s="2" t="n">
        <v>17969.3059052692</v>
      </c>
      <c r="O33" s="3" t="n">
        <f aca="false">N33/E33</f>
        <v>1.79693059052692</v>
      </c>
    </row>
    <row r="34" customFormat="false" ht="12.8" hidden="false" customHeight="false" outlineLevel="0" collapsed="false">
      <c r="A34" s="0" t="n">
        <v>32</v>
      </c>
      <c r="B34" s="0" t="n">
        <v>33</v>
      </c>
      <c r="C34" s="0" t="n">
        <v>11</v>
      </c>
      <c r="D34" s="0" t="n">
        <v>12</v>
      </c>
      <c r="E34" s="0" t="n">
        <v>4909</v>
      </c>
      <c r="F34" s="0" t="n">
        <v>6</v>
      </c>
      <c r="G34" s="0" t="n">
        <v>6</v>
      </c>
      <c r="H34" s="0" t="n">
        <v>0.15</v>
      </c>
      <c r="I34" s="0" t="n">
        <v>4</v>
      </c>
      <c r="J34" s="0" t="n">
        <v>0</v>
      </c>
      <c r="K34" s="0" t="n">
        <v>0</v>
      </c>
      <c r="L34" s="0" t="n">
        <v>1</v>
      </c>
      <c r="M34" s="2" t="n">
        <v>9.72770743454568</v>
      </c>
      <c r="N34" s="2" t="n">
        <v>7003.14082676305</v>
      </c>
      <c r="O34" s="3" t="n">
        <f aca="false">N34/E34</f>
        <v>1.42659214234326</v>
      </c>
    </row>
    <row r="35" customFormat="false" ht="12.8" hidden="false" customHeight="false" outlineLevel="0" collapsed="false">
      <c r="A35" s="0" t="n">
        <v>33</v>
      </c>
      <c r="B35" s="0" t="n">
        <v>34</v>
      </c>
      <c r="C35" s="0" t="n">
        <v>11</v>
      </c>
      <c r="D35" s="0" t="n">
        <v>14</v>
      </c>
      <c r="E35" s="0" t="n">
        <v>4877</v>
      </c>
      <c r="F35" s="0" t="n">
        <v>4</v>
      </c>
      <c r="G35" s="0" t="n">
        <v>4</v>
      </c>
      <c r="H35" s="0" t="n">
        <v>0.15</v>
      </c>
      <c r="I35" s="0" t="n">
        <v>4</v>
      </c>
      <c r="J35" s="0" t="n">
        <v>0</v>
      </c>
      <c r="K35" s="0" t="n">
        <v>0</v>
      </c>
      <c r="L35" s="0" t="n">
        <v>1</v>
      </c>
      <c r="M35" s="2" t="n">
        <v>13.4937675818771</v>
      </c>
      <c r="N35" s="2" t="n">
        <v>9726.90315465459</v>
      </c>
      <c r="O35" s="3" t="n">
        <f aca="false">N35/E35</f>
        <v>1.9944439521539</v>
      </c>
    </row>
    <row r="36" customFormat="false" ht="12.8" hidden="false" customHeight="false" outlineLevel="0" collapsed="false">
      <c r="A36" s="0" t="n">
        <v>34</v>
      </c>
      <c r="B36" s="0" t="n">
        <v>35</v>
      </c>
      <c r="C36" s="0" t="n">
        <v>12</v>
      </c>
      <c r="D36" s="0" t="n">
        <v>3</v>
      </c>
      <c r="E36" s="0" t="n">
        <v>23403</v>
      </c>
      <c r="F36" s="0" t="n">
        <v>4</v>
      </c>
      <c r="G36" s="0" t="n">
        <v>4</v>
      </c>
      <c r="H36" s="0" t="n">
        <v>0.15</v>
      </c>
      <c r="I36" s="0" t="n">
        <v>4</v>
      </c>
      <c r="J36" s="0" t="n">
        <v>0</v>
      </c>
      <c r="K36" s="0" t="n">
        <v>0</v>
      </c>
      <c r="L36" s="0" t="n">
        <v>1</v>
      </c>
      <c r="M36" s="2" t="n">
        <v>4.04216257143746</v>
      </c>
      <c r="N36" s="2" t="n">
        <v>12049.4019638725</v>
      </c>
      <c r="O36" s="3" t="n">
        <f aca="false">N36/E36</f>
        <v>0.514865699434793</v>
      </c>
    </row>
    <row r="37" customFormat="false" ht="12.8" hidden="false" customHeight="false" outlineLevel="0" collapsed="false">
      <c r="A37" s="0" t="n">
        <v>35</v>
      </c>
      <c r="B37" s="0" t="n">
        <v>36</v>
      </c>
      <c r="C37" s="0" t="n">
        <v>12</v>
      </c>
      <c r="D37" s="0" t="n">
        <v>11</v>
      </c>
      <c r="E37" s="0" t="n">
        <v>4909</v>
      </c>
      <c r="F37" s="0" t="n">
        <v>6</v>
      </c>
      <c r="G37" s="0" t="n">
        <v>6</v>
      </c>
      <c r="H37" s="0" t="n">
        <v>0.15</v>
      </c>
      <c r="I37" s="0" t="n">
        <v>4</v>
      </c>
      <c r="J37" s="0" t="n">
        <v>0</v>
      </c>
      <c r="K37" s="0" t="n">
        <v>0</v>
      </c>
      <c r="L37" s="0" t="n">
        <v>1</v>
      </c>
      <c r="M37" s="2" t="n">
        <v>13.3126991048523</v>
      </c>
      <c r="N37" s="2" t="n">
        <v>8288.03985313915</v>
      </c>
      <c r="O37" s="3" t="n">
        <f aca="false">N37/E37</f>
        <v>1.6883356800039</v>
      </c>
    </row>
    <row r="38" customFormat="false" ht="12.8" hidden="false" customHeight="false" outlineLevel="0" collapsed="false">
      <c r="A38" s="0" t="n">
        <v>36</v>
      </c>
      <c r="B38" s="0" t="n">
        <v>37</v>
      </c>
      <c r="C38" s="0" t="n">
        <v>12</v>
      </c>
      <c r="D38" s="0" t="n">
        <v>13</v>
      </c>
      <c r="E38" s="0" t="n">
        <v>25900</v>
      </c>
      <c r="F38" s="0" t="n">
        <v>3</v>
      </c>
      <c r="G38" s="0" t="n">
        <v>3</v>
      </c>
      <c r="H38" s="0" t="n">
        <v>0.15</v>
      </c>
      <c r="I38" s="0" t="n">
        <v>4</v>
      </c>
      <c r="J38" s="0" t="n">
        <v>0</v>
      </c>
      <c r="K38" s="0" t="n">
        <v>0</v>
      </c>
      <c r="L38" s="0" t="n">
        <v>1</v>
      </c>
      <c r="M38" s="2" t="n">
        <v>3.04304063346377</v>
      </c>
      <c r="N38" s="2" t="n">
        <v>14403.4423695876</v>
      </c>
      <c r="O38" s="3" t="n">
        <f aca="false">N38/E38</f>
        <v>0.556117466007244</v>
      </c>
    </row>
    <row r="39" customFormat="false" ht="12.8" hidden="false" customHeight="false" outlineLevel="0" collapsed="false">
      <c r="A39" s="0" t="n">
        <v>37</v>
      </c>
      <c r="B39" s="0" t="n">
        <v>38</v>
      </c>
      <c r="C39" s="0" t="n">
        <v>13</v>
      </c>
      <c r="D39" s="0" t="n">
        <v>12</v>
      </c>
      <c r="E39" s="0" t="n">
        <v>25900</v>
      </c>
      <c r="F39" s="0" t="n">
        <v>3</v>
      </c>
      <c r="G39" s="0" t="n">
        <v>3</v>
      </c>
      <c r="H39" s="0" t="n">
        <v>0.15</v>
      </c>
      <c r="I39" s="0" t="n">
        <v>4</v>
      </c>
      <c r="J39" s="0" t="n">
        <v>0</v>
      </c>
      <c r="K39" s="0" t="n">
        <v>0</v>
      </c>
      <c r="L39" s="0" t="n">
        <v>1</v>
      </c>
      <c r="M39" s="2" t="n">
        <v>3.04326945799208</v>
      </c>
      <c r="N39" s="2" t="n">
        <v>14422.5482124708</v>
      </c>
      <c r="O39" s="3" t="n">
        <f aca="false">N39/E39</f>
        <v>0.556855143338641</v>
      </c>
    </row>
    <row r="40" customFormat="false" ht="12.8" hidden="false" customHeight="false" outlineLevel="0" collapsed="false">
      <c r="A40" s="0" t="n">
        <v>38</v>
      </c>
      <c r="B40" s="0" t="n">
        <v>39</v>
      </c>
      <c r="C40" s="0" t="n">
        <v>13</v>
      </c>
      <c r="D40" s="0" t="n">
        <v>24</v>
      </c>
      <c r="E40" s="0" t="n">
        <v>5091</v>
      </c>
      <c r="F40" s="0" t="n">
        <v>4</v>
      </c>
      <c r="G40" s="0" t="n">
        <v>4</v>
      </c>
      <c r="H40" s="0" t="n">
        <v>0.15</v>
      </c>
      <c r="I40" s="0" t="n">
        <v>4</v>
      </c>
      <c r="J40" s="0" t="n">
        <v>0</v>
      </c>
      <c r="K40" s="0" t="n">
        <v>0</v>
      </c>
      <c r="L40" s="0" t="n">
        <v>1</v>
      </c>
      <c r="M40" s="2" t="n">
        <v>19.7192955833617</v>
      </c>
      <c r="N40" s="2" t="n">
        <v>11517.9066553019</v>
      </c>
      <c r="O40" s="3" t="n">
        <f aca="false">N40/E40</f>
        <v>2.26240555004949</v>
      </c>
    </row>
    <row r="41" customFormat="false" ht="12.8" hidden="false" customHeight="false" outlineLevel="0" collapsed="false">
      <c r="A41" s="0" t="n">
        <v>39</v>
      </c>
      <c r="B41" s="0" t="n">
        <v>40</v>
      </c>
      <c r="C41" s="0" t="n">
        <v>14</v>
      </c>
      <c r="D41" s="0" t="n">
        <v>11</v>
      </c>
      <c r="E41" s="0" t="n">
        <v>4877</v>
      </c>
      <c r="F41" s="0" t="n">
        <v>4</v>
      </c>
      <c r="G41" s="0" t="n">
        <v>4</v>
      </c>
      <c r="H41" s="0" t="n">
        <v>0.15</v>
      </c>
      <c r="I41" s="0" t="n">
        <v>4</v>
      </c>
      <c r="J41" s="0" t="n">
        <v>0</v>
      </c>
      <c r="K41" s="0" t="n">
        <v>0</v>
      </c>
      <c r="L41" s="0" t="n">
        <v>1</v>
      </c>
      <c r="M41" s="2" t="n">
        <v>12.8433005870155</v>
      </c>
      <c r="N41" s="2" t="n">
        <v>9555.83274604418</v>
      </c>
      <c r="O41" s="3" t="n">
        <f aca="false">N41/E41</f>
        <v>1.95936697683908</v>
      </c>
    </row>
    <row r="42" customFormat="false" ht="12.8" hidden="false" customHeight="false" outlineLevel="0" collapsed="false">
      <c r="A42" s="0" t="n">
        <v>40</v>
      </c>
      <c r="B42" s="0" t="n">
        <v>41</v>
      </c>
      <c r="C42" s="0" t="n">
        <v>14</v>
      </c>
      <c r="D42" s="0" t="n">
        <v>15</v>
      </c>
      <c r="E42" s="0" t="n">
        <v>5128</v>
      </c>
      <c r="F42" s="0" t="n">
        <v>5</v>
      </c>
      <c r="G42" s="0" t="n">
        <v>5</v>
      </c>
      <c r="H42" s="0" t="n">
        <v>0.15</v>
      </c>
      <c r="I42" s="0" t="n">
        <v>4</v>
      </c>
      <c r="J42" s="0" t="n">
        <v>0</v>
      </c>
      <c r="K42" s="0" t="n">
        <v>0</v>
      </c>
      <c r="L42" s="0" t="n">
        <v>1</v>
      </c>
      <c r="M42" s="2" t="n">
        <v>12.4324154937087</v>
      </c>
      <c r="N42" s="2" t="n">
        <v>9098.40355147999</v>
      </c>
      <c r="O42" s="3" t="n">
        <f aca="false">N42/E42</f>
        <v>1.77425966292511</v>
      </c>
    </row>
    <row r="43" customFormat="false" ht="12.8" hidden="false" customHeight="false" outlineLevel="0" collapsed="false">
      <c r="A43" s="0" t="n">
        <v>41</v>
      </c>
      <c r="B43" s="0" t="n">
        <v>42</v>
      </c>
      <c r="C43" s="0" t="n">
        <v>14</v>
      </c>
      <c r="D43" s="0" t="n">
        <v>23</v>
      </c>
      <c r="E43" s="0" t="n">
        <v>4925</v>
      </c>
      <c r="F43" s="0" t="n">
        <v>4</v>
      </c>
      <c r="G43" s="0" t="n">
        <v>4</v>
      </c>
      <c r="H43" s="0" t="n">
        <v>0.15</v>
      </c>
      <c r="I43" s="0" t="n">
        <v>4</v>
      </c>
      <c r="J43" s="0" t="n">
        <v>0</v>
      </c>
      <c r="K43" s="0" t="n">
        <v>0</v>
      </c>
      <c r="L43" s="0" t="n">
        <v>1</v>
      </c>
      <c r="M43" s="2" t="n">
        <v>7.96545811097368</v>
      </c>
      <c r="N43" s="2" t="n">
        <v>7896.62953538693</v>
      </c>
      <c r="O43" s="3" t="n">
        <f aca="false">N43/E43</f>
        <v>1.60337655540851</v>
      </c>
    </row>
    <row r="44" customFormat="false" ht="12.8" hidden="false" customHeight="false" outlineLevel="0" collapsed="false">
      <c r="A44" s="0" t="n">
        <v>42</v>
      </c>
      <c r="B44" s="0" t="n">
        <v>43</v>
      </c>
      <c r="C44" s="0" t="n">
        <v>15</v>
      </c>
      <c r="D44" s="0" t="n">
        <v>10</v>
      </c>
      <c r="E44" s="0" t="n">
        <v>13512</v>
      </c>
      <c r="F44" s="0" t="n">
        <v>6</v>
      </c>
      <c r="G44" s="0" t="n">
        <v>6</v>
      </c>
      <c r="H44" s="0" t="n">
        <v>0.15</v>
      </c>
      <c r="I44" s="0" t="n">
        <v>4</v>
      </c>
      <c r="J44" s="0" t="n">
        <v>0</v>
      </c>
      <c r="K44" s="0" t="n">
        <v>0</v>
      </c>
      <c r="L44" s="0" t="n">
        <v>1</v>
      </c>
      <c r="M44" s="2" t="n">
        <v>13.3700648043266</v>
      </c>
      <c r="N44" s="2" t="n">
        <v>22857.400390691</v>
      </c>
      <c r="O44" s="3" t="n">
        <f aca="false">N44/E44</f>
        <v>1.69163709226547</v>
      </c>
    </row>
    <row r="45" customFormat="false" ht="12.8" hidden="false" customHeight="false" outlineLevel="0" collapsed="false">
      <c r="A45" s="0" t="n">
        <v>43</v>
      </c>
      <c r="B45" s="0" t="n">
        <v>44</v>
      </c>
      <c r="C45" s="0" t="n">
        <v>15</v>
      </c>
      <c r="D45" s="0" t="n">
        <v>14</v>
      </c>
      <c r="E45" s="0" t="n">
        <v>5128</v>
      </c>
      <c r="F45" s="0" t="n">
        <v>5</v>
      </c>
      <c r="G45" s="0" t="n">
        <v>5</v>
      </c>
      <c r="H45" s="0" t="n">
        <v>0.15</v>
      </c>
      <c r="I45" s="0" t="n">
        <v>4</v>
      </c>
      <c r="J45" s="0" t="n">
        <v>0</v>
      </c>
      <c r="K45" s="0" t="n">
        <v>0</v>
      </c>
      <c r="L45" s="0" t="n">
        <v>1</v>
      </c>
      <c r="M45" s="2" t="n">
        <v>11.9587601522201</v>
      </c>
      <c r="N45" s="2" t="n">
        <v>8949.84816723867</v>
      </c>
      <c r="O45" s="3" t="n">
        <f aca="false">N45/E45</f>
        <v>1.74529020421971</v>
      </c>
    </row>
    <row r="46" customFormat="false" ht="12.8" hidden="false" customHeight="false" outlineLevel="0" collapsed="false">
      <c r="A46" s="0" t="n">
        <v>44</v>
      </c>
      <c r="B46" s="0" t="n">
        <v>45</v>
      </c>
      <c r="C46" s="0" t="n">
        <v>15</v>
      </c>
      <c r="D46" s="0" t="n">
        <v>19</v>
      </c>
      <c r="E46" s="0" t="n">
        <v>14565</v>
      </c>
      <c r="F46" s="0" t="n">
        <v>3</v>
      </c>
      <c r="G46" s="0" t="n">
        <v>3</v>
      </c>
      <c r="H46" s="0" t="n">
        <v>0.15</v>
      </c>
      <c r="I46" s="0" t="n">
        <v>4</v>
      </c>
      <c r="J46" s="0" t="n">
        <v>0</v>
      </c>
      <c r="K46" s="0" t="n">
        <v>0</v>
      </c>
      <c r="L46" s="0" t="n">
        <v>1</v>
      </c>
      <c r="M46" s="2" t="n">
        <v>4.30588769354473</v>
      </c>
      <c r="N46" s="2" t="n">
        <v>19010.074454365</v>
      </c>
      <c r="O46" s="3" t="n">
        <f aca="false">N46/E46</f>
        <v>1.30518877132613</v>
      </c>
    </row>
    <row r="47" customFormat="false" ht="12.8" hidden="false" customHeight="false" outlineLevel="0" collapsed="false">
      <c r="A47" s="0" t="n">
        <v>45</v>
      </c>
      <c r="B47" s="0" t="n">
        <v>46</v>
      </c>
      <c r="C47" s="0" t="n">
        <v>15</v>
      </c>
      <c r="D47" s="0" t="n">
        <v>22</v>
      </c>
      <c r="E47" s="0" t="n">
        <v>9599</v>
      </c>
      <c r="F47" s="0" t="n">
        <v>3</v>
      </c>
      <c r="G47" s="0" t="n">
        <v>3</v>
      </c>
      <c r="H47" s="0" t="n">
        <v>0.15</v>
      </c>
      <c r="I47" s="0" t="n">
        <v>4</v>
      </c>
      <c r="J47" s="0" t="n">
        <v>0</v>
      </c>
      <c r="K47" s="0" t="n">
        <v>0</v>
      </c>
      <c r="L47" s="0" t="n">
        <v>1</v>
      </c>
      <c r="M47" s="2" t="n">
        <v>8.39347150159983</v>
      </c>
      <c r="N47" s="2" t="n">
        <v>17860.3497956674</v>
      </c>
      <c r="O47" s="3" t="n">
        <f aca="false">N47/E47</f>
        <v>1.86064692110297</v>
      </c>
    </row>
    <row r="48" customFormat="false" ht="12.8" hidden="false" customHeight="false" outlineLevel="0" collapsed="false">
      <c r="A48" s="0" t="n">
        <v>46</v>
      </c>
      <c r="B48" s="0" t="n">
        <v>47</v>
      </c>
      <c r="C48" s="0" t="n">
        <v>16</v>
      </c>
      <c r="D48" s="0" t="n">
        <v>8</v>
      </c>
      <c r="E48" s="0" t="n">
        <v>5046</v>
      </c>
      <c r="F48" s="0" t="n">
        <v>5</v>
      </c>
      <c r="G48" s="0" t="n">
        <v>5</v>
      </c>
      <c r="H48" s="0" t="n">
        <v>0.15</v>
      </c>
      <c r="I48" s="0" t="n">
        <v>4</v>
      </c>
      <c r="J48" s="0" t="n">
        <v>0</v>
      </c>
      <c r="K48" s="0" t="n">
        <v>0</v>
      </c>
      <c r="L48" s="0" t="n">
        <v>1</v>
      </c>
      <c r="M48" s="2" t="n">
        <v>11.1029571157737</v>
      </c>
      <c r="N48" s="2" t="n">
        <v>8522.49999999994</v>
      </c>
      <c r="O48" s="3" t="n">
        <f aca="false">N48/E48</f>
        <v>1.68896155370589</v>
      </c>
    </row>
    <row r="49" customFormat="false" ht="12.8" hidden="false" customHeight="false" outlineLevel="0" collapsed="false">
      <c r="A49" s="0" t="n">
        <v>47</v>
      </c>
      <c r="B49" s="0" t="n">
        <v>48</v>
      </c>
      <c r="C49" s="0" t="n">
        <v>16</v>
      </c>
      <c r="D49" s="0" t="n">
        <v>10</v>
      </c>
      <c r="E49" s="0" t="n">
        <v>4855</v>
      </c>
      <c r="F49" s="0" t="n">
        <v>4</v>
      </c>
      <c r="G49" s="0" t="n">
        <v>4</v>
      </c>
      <c r="H49" s="0" t="n">
        <v>0.15</v>
      </c>
      <c r="I49" s="0" t="n">
        <v>4</v>
      </c>
      <c r="J49" s="0" t="n">
        <v>0</v>
      </c>
      <c r="K49" s="0" t="n">
        <v>0</v>
      </c>
      <c r="L49" s="0" t="n">
        <v>1</v>
      </c>
      <c r="M49" s="2" t="n">
        <v>22.222683208396</v>
      </c>
      <c r="N49" s="2" t="n">
        <v>11397.3662126762</v>
      </c>
      <c r="O49" s="3" t="n">
        <f aca="false">N49/E49</f>
        <v>2.34755225801775</v>
      </c>
    </row>
    <row r="50" customFormat="false" ht="12.8" hidden="false" customHeight="false" outlineLevel="0" collapsed="false">
      <c r="A50" s="0" t="n">
        <v>48</v>
      </c>
      <c r="B50" s="0" t="n">
        <v>49</v>
      </c>
      <c r="C50" s="0" t="n">
        <v>16</v>
      </c>
      <c r="D50" s="0" t="n">
        <v>17</v>
      </c>
      <c r="E50" s="0" t="n">
        <v>5230</v>
      </c>
      <c r="F50" s="0" t="n">
        <v>2</v>
      </c>
      <c r="G50" s="0" t="n">
        <v>2</v>
      </c>
      <c r="H50" s="0" t="n">
        <v>0.15</v>
      </c>
      <c r="I50" s="0" t="n">
        <v>4</v>
      </c>
      <c r="J50" s="0" t="n">
        <v>0</v>
      </c>
      <c r="K50" s="0" t="n">
        <v>0</v>
      </c>
      <c r="L50" s="0" t="n">
        <v>1</v>
      </c>
      <c r="M50" s="2" t="n">
        <v>8.58761648255066</v>
      </c>
      <c r="N50" s="2" t="n">
        <v>11321.4864747308</v>
      </c>
      <c r="O50" s="3" t="n">
        <f aca="false">N50/E50</f>
        <v>2.16472016725254</v>
      </c>
    </row>
    <row r="51" customFormat="false" ht="12.8" hidden="false" customHeight="false" outlineLevel="0" collapsed="false">
      <c r="A51" s="0" t="n">
        <v>49</v>
      </c>
      <c r="B51" s="0" t="n">
        <v>50</v>
      </c>
      <c r="C51" s="0" t="n">
        <v>16</v>
      </c>
      <c r="D51" s="0" t="n">
        <v>18</v>
      </c>
      <c r="E51" s="0" t="n">
        <v>19680</v>
      </c>
      <c r="F51" s="0" t="n">
        <v>3</v>
      </c>
      <c r="G51" s="0" t="n">
        <v>3</v>
      </c>
      <c r="H51" s="0" t="n">
        <v>0.15</v>
      </c>
      <c r="I51" s="0" t="n">
        <v>4</v>
      </c>
      <c r="J51" s="0" t="n">
        <v>0</v>
      </c>
      <c r="K51" s="0" t="n">
        <v>0</v>
      </c>
      <c r="L51" s="0" t="n">
        <v>1</v>
      </c>
      <c r="M51" s="2" t="n">
        <v>3.23918827694406</v>
      </c>
      <c r="N51" s="2" t="n">
        <v>16803.7781128278</v>
      </c>
      <c r="O51" s="3" t="n">
        <f aca="false">N51/E51</f>
        <v>0.8538505138632</v>
      </c>
    </row>
    <row r="52" customFormat="false" ht="12.8" hidden="false" customHeight="false" outlineLevel="0" collapsed="false">
      <c r="A52" s="0" t="n">
        <v>50</v>
      </c>
      <c r="B52" s="0" t="n">
        <v>51</v>
      </c>
      <c r="C52" s="0" t="n">
        <v>17</v>
      </c>
      <c r="D52" s="0" t="n">
        <v>10</v>
      </c>
      <c r="E52" s="0" t="n">
        <v>4994</v>
      </c>
      <c r="F52" s="0" t="n">
        <v>8</v>
      </c>
      <c r="G52" s="0" t="n">
        <v>8</v>
      </c>
      <c r="H52" s="0" t="n">
        <v>0.15</v>
      </c>
      <c r="I52" s="0" t="n">
        <v>4</v>
      </c>
      <c r="J52" s="0" t="n">
        <v>0</v>
      </c>
      <c r="K52" s="0" t="n">
        <v>0</v>
      </c>
      <c r="L52" s="0" t="n">
        <v>1</v>
      </c>
      <c r="M52" s="2" t="n">
        <v>14.9807320046507</v>
      </c>
      <c r="N52" s="2" t="n">
        <v>7755.8333333333</v>
      </c>
      <c r="O52" s="3" t="n">
        <f aca="false">N52/E52</f>
        <v>1.5530303030303</v>
      </c>
    </row>
    <row r="53" customFormat="false" ht="12.8" hidden="false" customHeight="false" outlineLevel="0" collapsed="false">
      <c r="A53" s="0" t="n">
        <v>51</v>
      </c>
      <c r="B53" s="0" t="n">
        <v>52</v>
      </c>
      <c r="C53" s="0" t="n">
        <v>17</v>
      </c>
      <c r="D53" s="0" t="n">
        <v>16</v>
      </c>
      <c r="E53" s="0" t="n">
        <v>5230</v>
      </c>
      <c r="F53" s="0" t="n">
        <v>2</v>
      </c>
      <c r="G53" s="0" t="n">
        <v>2</v>
      </c>
      <c r="H53" s="0" t="n">
        <v>0.15</v>
      </c>
      <c r="I53" s="0" t="n">
        <v>4</v>
      </c>
      <c r="J53" s="0" t="n">
        <v>0</v>
      </c>
      <c r="K53" s="0" t="n">
        <v>0</v>
      </c>
      <c r="L53" s="0" t="n">
        <v>1</v>
      </c>
      <c r="M53" s="2" t="n">
        <v>8.89200659599463</v>
      </c>
      <c r="N53" s="2" t="n">
        <v>11450.0608922591</v>
      </c>
      <c r="O53" s="3" t="n">
        <f aca="false">N53/E53</f>
        <v>2.1893041859004</v>
      </c>
    </row>
    <row r="54" customFormat="false" ht="12.8" hidden="false" customHeight="false" outlineLevel="0" collapsed="false">
      <c r="A54" s="0" t="n">
        <v>52</v>
      </c>
      <c r="B54" s="0" t="n">
        <v>53</v>
      </c>
      <c r="C54" s="0" t="n">
        <v>17</v>
      </c>
      <c r="D54" s="0" t="n">
        <v>19</v>
      </c>
      <c r="E54" s="0" t="n">
        <v>4824</v>
      </c>
      <c r="F54" s="0" t="n">
        <v>2</v>
      </c>
      <c r="G54" s="0" t="n">
        <v>2</v>
      </c>
      <c r="H54" s="0" t="n">
        <v>0.15</v>
      </c>
      <c r="I54" s="0" t="n">
        <v>4</v>
      </c>
      <c r="J54" s="0" t="n">
        <v>0</v>
      </c>
      <c r="K54" s="0" t="n">
        <v>0</v>
      </c>
      <c r="L54" s="0" t="n">
        <v>1</v>
      </c>
      <c r="M54" s="2" t="n">
        <v>7.04423969240108</v>
      </c>
      <c r="N54" s="2" t="n">
        <v>9768.4557661402</v>
      </c>
      <c r="O54" s="3" t="n">
        <f aca="false">N54/E54</f>
        <v>2.02497010077533</v>
      </c>
    </row>
    <row r="55" customFormat="false" ht="12.8" hidden="false" customHeight="false" outlineLevel="0" collapsed="false">
      <c r="A55" s="0" t="n">
        <v>53</v>
      </c>
      <c r="B55" s="0" t="n">
        <v>54</v>
      </c>
      <c r="C55" s="0" t="n">
        <v>18</v>
      </c>
      <c r="D55" s="0" t="n">
        <v>7</v>
      </c>
      <c r="E55" s="0" t="n">
        <v>23403</v>
      </c>
      <c r="F55" s="0" t="n">
        <v>2</v>
      </c>
      <c r="G55" s="0" t="n">
        <v>2</v>
      </c>
      <c r="H55" s="0" t="n">
        <v>0.15</v>
      </c>
      <c r="I55" s="0" t="n">
        <v>4</v>
      </c>
      <c r="J55" s="0" t="n">
        <v>0</v>
      </c>
      <c r="K55" s="0" t="n">
        <v>0</v>
      </c>
      <c r="L55" s="0" t="n">
        <v>1</v>
      </c>
      <c r="M55" s="2" t="n">
        <v>2.05220849290828</v>
      </c>
      <c r="N55" s="2" t="n">
        <v>15115.6388888889</v>
      </c>
      <c r="O55" s="3" t="n">
        <f aca="false">N55/E55</f>
        <v>0.645884668157453</v>
      </c>
    </row>
    <row r="56" customFormat="false" ht="12.8" hidden="false" customHeight="false" outlineLevel="0" collapsed="false">
      <c r="A56" s="0" t="n">
        <v>54</v>
      </c>
      <c r="B56" s="0" t="n">
        <v>55</v>
      </c>
      <c r="C56" s="0" t="n">
        <v>18</v>
      </c>
      <c r="D56" s="0" t="n">
        <v>16</v>
      </c>
      <c r="E56" s="0" t="n">
        <v>19680</v>
      </c>
      <c r="F56" s="0" t="n">
        <v>3</v>
      </c>
      <c r="G56" s="0" t="n">
        <v>3</v>
      </c>
      <c r="H56" s="0" t="n">
        <v>0.15</v>
      </c>
      <c r="I56" s="0" t="n">
        <v>4</v>
      </c>
      <c r="J56" s="0" t="n">
        <v>0</v>
      </c>
      <c r="K56" s="0" t="n">
        <v>0</v>
      </c>
      <c r="L56" s="0" t="n">
        <v>1</v>
      </c>
      <c r="M56" s="2" t="n">
        <v>3.26064298299398</v>
      </c>
      <c r="N56" s="2" t="n">
        <v>17168.5443623407</v>
      </c>
      <c r="O56" s="3" t="n">
        <f aca="false">N56/E56</f>
        <v>0.872385384265279</v>
      </c>
    </row>
    <row r="57" customFormat="false" ht="12.8" hidden="false" customHeight="false" outlineLevel="0" collapsed="false">
      <c r="A57" s="0" t="n">
        <v>55</v>
      </c>
      <c r="B57" s="0" t="n">
        <v>56</v>
      </c>
      <c r="C57" s="0" t="n">
        <v>18</v>
      </c>
      <c r="D57" s="0" t="n">
        <v>20</v>
      </c>
      <c r="E57" s="0" t="n">
        <v>23403</v>
      </c>
      <c r="F57" s="0" t="n">
        <v>4</v>
      </c>
      <c r="G57" s="0" t="n">
        <v>4</v>
      </c>
      <c r="H57" s="0" t="n">
        <v>0.15</v>
      </c>
      <c r="I57" s="0" t="n">
        <v>4</v>
      </c>
      <c r="J57" s="0" t="n">
        <v>0</v>
      </c>
      <c r="K57" s="0" t="n">
        <v>0</v>
      </c>
      <c r="L57" s="0" t="n">
        <v>1</v>
      </c>
      <c r="M57" s="2" t="n">
        <v>4.28034393244117</v>
      </c>
      <c r="N57" s="2" t="n">
        <v>19348.9102556852</v>
      </c>
      <c r="O57" s="3" t="n">
        <f aca="false">N57/E57</f>
        <v>0.826770510433925</v>
      </c>
    </row>
    <row r="58" customFormat="false" ht="12.8" hidden="false" customHeight="false" outlineLevel="0" collapsed="false">
      <c r="A58" s="0" t="n">
        <v>56</v>
      </c>
      <c r="B58" s="0" t="n">
        <v>57</v>
      </c>
      <c r="C58" s="0" t="n">
        <v>19</v>
      </c>
      <c r="D58" s="0" t="n">
        <v>15</v>
      </c>
      <c r="E58" s="0" t="n">
        <v>14565</v>
      </c>
      <c r="F58" s="0" t="n">
        <v>3</v>
      </c>
      <c r="G58" s="0" t="n">
        <v>3</v>
      </c>
      <c r="H58" s="0" t="n">
        <v>0.15</v>
      </c>
      <c r="I58" s="0" t="n">
        <v>4</v>
      </c>
      <c r="J58" s="0" t="n">
        <v>0</v>
      </c>
      <c r="K58" s="0" t="n">
        <v>0</v>
      </c>
      <c r="L58" s="0" t="n">
        <v>1</v>
      </c>
      <c r="M58" s="2" t="n">
        <v>4.20714456108141</v>
      </c>
      <c r="N58" s="2" t="n">
        <v>18640.0546371498</v>
      </c>
      <c r="O58" s="3" t="n">
        <f aca="false">N58/E58</f>
        <v>1.27978404649158</v>
      </c>
    </row>
    <row r="59" customFormat="false" ht="12.8" hidden="false" customHeight="false" outlineLevel="0" collapsed="false">
      <c r="A59" s="0" t="n">
        <v>57</v>
      </c>
      <c r="B59" s="0" t="n">
        <v>58</v>
      </c>
      <c r="C59" s="0" t="n">
        <v>19</v>
      </c>
      <c r="D59" s="0" t="n">
        <v>17</v>
      </c>
      <c r="E59" s="0" t="n">
        <v>4824</v>
      </c>
      <c r="F59" s="0" t="n">
        <v>2</v>
      </c>
      <c r="G59" s="0" t="n">
        <v>2</v>
      </c>
      <c r="H59" s="0" t="n">
        <v>0.15</v>
      </c>
      <c r="I59" s="0" t="n">
        <v>4</v>
      </c>
      <c r="J59" s="0" t="n">
        <v>0</v>
      </c>
      <c r="K59" s="0" t="n">
        <v>0</v>
      </c>
      <c r="L59" s="0" t="n">
        <v>1</v>
      </c>
      <c r="M59" s="2" t="n">
        <v>7.25378884866623</v>
      </c>
      <c r="N59" s="2" t="n">
        <v>9868.3635170018</v>
      </c>
      <c r="O59" s="3" t="n">
        <f aca="false">N59/E59</f>
        <v>2.0456806627284</v>
      </c>
    </row>
    <row r="60" customFormat="false" ht="12.8" hidden="false" customHeight="false" outlineLevel="0" collapsed="false">
      <c r="A60" s="0" t="n">
        <v>58</v>
      </c>
      <c r="B60" s="0" t="n">
        <v>59</v>
      </c>
      <c r="C60" s="0" t="n">
        <v>19</v>
      </c>
      <c r="D60" s="0" t="n">
        <v>20</v>
      </c>
      <c r="E60" s="0" t="n">
        <v>5003</v>
      </c>
      <c r="F60" s="0" t="n">
        <v>4</v>
      </c>
      <c r="G60" s="0" t="n">
        <v>4</v>
      </c>
      <c r="H60" s="0" t="n">
        <v>0.15</v>
      </c>
      <c r="I60" s="0" t="n">
        <v>4</v>
      </c>
      <c r="J60" s="0" t="n">
        <v>0</v>
      </c>
      <c r="K60" s="0" t="n">
        <v>0</v>
      </c>
      <c r="L60" s="0" t="n">
        <v>1</v>
      </c>
      <c r="M60" s="2" t="n">
        <v>9.53158220916135</v>
      </c>
      <c r="N60" s="2" t="n">
        <v>8717.76249638415</v>
      </c>
      <c r="O60" s="3" t="n">
        <f aca="false">N60/E60</f>
        <v>1.74250699507978</v>
      </c>
    </row>
    <row r="61" customFormat="false" ht="12.8" hidden="false" customHeight="false" outlineLevel="0" collapsed="false">
      <c r="A61" s="0" t="n">
        <v>59</v>
      </c>
      <c r="B61" s="0" t="n">
        <v>60</v>
      </c>
      <c r="C61" s="0" t="n">
        <v>20</v>
      </c>
      <c r="D61" s="0" t="n">
        <v>18</v>
      </c>
      <c r="E61" s="0" t="n">
        <v>23403</v>
      </c>
      <c r="F61" s="0" t="n">
        <v>4</v>
      </c>
      <c r="G61" s="0" t="n">
        <v>4</v>
      </c>
      <c r="H61" s="0" t="n">
        <v>0.15</v>
      </c>
      <c r="I61" s="0" t="n">
        <v>4</v>
      </c>
      <c r="J61" s="0" t="n">
        <v>0</v>
      </c>
      <c r="K61" s="0" t="n">
        <v>0</v>
      </c>
      <c r="L61" s="0" t="n">
        <v>1</v>
      </c>
      <c r="M61" s="2" t="n">
        <v>4.2829685247407</v>
      </c>
      <c r="N61" s="2" t="n">
        <v>19394.0384671251</v>
      </c>
      <c r="O61" s="3" t="n">
        <f aca="false">N61/E61</f>
        <v>0.828698819259286</v>
      </c>
    </row>
    <row r="62" customFormat="false" ht="12.8" hidden="false" customHeight="false" outlineLevel="0" collapsed="false">
      <c r="A62" s="0" t="n">
        <v>60</v>
      </c>
      <c r="B62" s="0" t="n">
        <v>61</v>
      </c>
      <c r="C62" s="0" t="n">
        <v>20</v>
      </c>
      <c r="D62" s="0" t="n">
        <v>19</v>
      </c>
      <c r="E62" s="0" t="n">
        <v>5003</v>
      </c>
      <c r="F62" s="0" t="n">
        <v>4</v>
      </c>
      <c r="G62" s="0" t="n">
        <v>4</v>
      </c>
      <c r="H62" s="0" t="n">
        <v>0.15</v>
      </c>
      <c r="I62" s="0" t="n">
        <v>4</v>
      </c>
      <c r="J62" s="0" t="n">
        <v>0</v>
      </c>
      <c r="K62" s="0" t="n">
        <v>0</v>
      </c>
      <c r="L62" s="0" t="n">
        <v>1</v>
      </c>
      <c r="M62" s="2" t="n">
        <v>8.87722706781819</v>
      </c>
      <c r="N62" s="2" t="n">
        <v>8447.65043003093</v>
      </c>
      <c r="O62" s="3" t="n">
        <f aca="false">N62/E62</f>
        <v>1.68851697582069</v>
      </c>
    </row>
    <row r="63" customFormat="false" ht="12.8" hidden="false" customHeight="false" outlineLevel="0" collapsed="false">
      <c r="A63" s="0" t="n">
        <v>61</v>
      </c>
      <c r="B63" s="0" t="n">
        <v>62</v>
      </c>
      <c r="C63" s="0" t="n">
        <v>20</v>
      </c>
      <c r="D63" s="0" t="n">
        <v>21</v>
      </c>
      <c r="E63" s="0" t="n">
        <v>5060</v>
      </c>
      <c r="F63" s="0" t="n">
        <v>6</v>
      </c>
      <c r="G63" s="0" t="n">
        <v>6</v>
      </c>
      <c r="H63" s="0" t="n">
        <v>0.15</v>
      </c>
      <c r="I63" s="0" t="n">
        <v>4</v>
      </c>
      <c r="J63" s="0" t="n">
        <v>0</v>
      </c>
      <c r="K63" s="0" t="n">
        <v>0</v>
      </c>
      <c r="L63" s="0" t="n">
        <v>1</v>
      </c>
      <c r="M63" s="2" t="n">
        <v>7.79420693219503</v>
      </c>
      <c r="N63" s="2" t="n">
        <v>6012.54060094492</v>
      </c>
      <c r="O63" s="3" t="n">
        <f aca="false">N63/E63</f>
        <v>1.18824913062153</v>
      </c>
    </row>
    <row r="64" customFormat="false" ht="12.8" hidden="false" customHeight="false" outlineLevel="0" collapsed="false">
      <c r="A64" s="0" t="n">
        <v>62</v>
      </c>
      <c r="B64" s="0" t="n">
        <v>63</v>
      </c>
      <c r="C64" s="0" t="n">
        <v>20</v>
      </c>
      <c r="D64" s="0" t="n">
        <v>22</v>
      </c>
      <c r="E64" s="0" t="n">
        <v>5076</v>
      </c>
      <c r="F64" s="0" t="n">
        <v>5</v>
      </c>
      <c r="G64" s="0" t="n">
        <v>5</v>
      </c>
      <c r="H64" s="0" t="n">
        <v>0.15</v>
      </c>
      <c r="I64" s="0" t="n">
        <v>4</v>
      </c>
      <c r="J64" s="0" t="n">
        <v>0</v>
      </c>
      <c r="K64" s="0" t="n">
        <v>0</v>
      </c>
      <c r="L64" s="0" t="n">
        <v>1</v>
      </c>
      <c r="M64" s="2" t="n">
        <v>8.66786495853292</v>
      </c>
      <c r="N64" s="2" t="n">
        <v>7548.48214285713</v>
      </c>
      <c r="O64" s="3" t="n">
        <f aca="false">N64/E64</f>
        <v>1.48709262073624</v>
      </c>
    </row>
    <row r="65" customFormat="false" ht="12.8" hidden="false" customHeight="false" outlineLevel="0" collapsed="false">
      <c r="A65" s="0" t="n">
        <v>63</v>
      </c>
      <c r="B65" s="0" t="n">
        <v>64</v>
      </c>
      <c r="C65" s="0" t="n">
        <v>21</v>
      </c>
      <c r="D65" s="0" t="n">
        <v>20</v>
      </c>
      <c r="E65" s="0" t="n">
        <v>5060</v>
      </c>
      <c r="F65" s="0" t="n">
        <v>6</v>
      </c>
      <c r="G65" s="0" t="n">
        <v>6</v>
      </c>
      <c r="H65" s="0" t="n">
        <v>0.15</v>
      </c>
      <c r="I65" s="0" t="n">
        <v>4</v>
      </c>
      <c r="J65" s="0" t="n">
        <v>0</v>
      </c>
      <c r="K65" s="0" t="n">
        <v>0</v>
      </c>
      <c r="L65" s="0" t="n">
        <v>1</v>
      </c>
      <c r="M65" s="2" t="n">
        <v>8.04955888196549</v>
      </c>
      <c r="N65" s="2" t="n">
        <v>6215.91388888893</v>
      </c>
      <c r="O65" s="3" t="n">
        <f aca="false">N65/E65</f>
        <v>1.22844148001757</v>
      </c>
    </row>
    <row r="66" customFormat="false" ht="12.8" hidden="false" customHeight="false" outlineLevel="0" collapsed="false">
      <c r="A66" s="0" t="n">
        <v>64</v>
      </c>
      <c r="B66" s="0" t="n">
        <v>65</v>
      </c>
      <c r="C66" s="0" t="n">
        <v>21</v>
      </c>
      <c r="D66" s="0" t="n">
        <v>22</v>
      </c>
      <c r="E66" s="0" t="n">
        <v>5230</v>
      </c>
      <c r="F66" s="0" t="n">
        <v>2</v>
      </c>
      <c r="G66" s="0" t="n">
        <v>2</v>
      </c>
      <c r="H66" s="0" t="n">
        <v>0.15</v>
      </c>
      <c r="I66" s="0" t="n">
        <v>4</v>
      </c>
      <c r="J66" s="0" t="n">
        <v>0</v>
      </c>
      <c r="K66" s="0" t="n">
        <v>0</v>
      </c>
      <c r="L66" s="0" t="n">
        <v>1</v>
      </c>
      <c r="M66" s="2" t="n">
        <v>4.37980153471538</v>
      </c>
      <c r="N66" s="2" t="n">
        <v>8777.21143526452</v>
      </c>
      <c r="O66" s="3" t="n">
        <f aca="false">N66/E66</f>
        <v>1.67824310425708</v>
      </c>
    </row>
    <row r="67" customFormat="false" ht="12.8" hidden="false" customHeight="false" outlineLevel="0" collapsed="false">
      <c r="A67" s="0" t="n">
        <v>65</v>
      </c>
      <c r="B67" s="0" t="n">
        <v>66</v>
      </c>
      <c r="C67" s="0" t="n">
        <v>21</v>
      </c>
      <c r="D67" s="0" t="n">
        <v>24</v>
      </c>
      <c r="E67" s="0" t="n">
        <v>4885</v>
      </c>
      <c r="F67" s="0" t="n">
        <v>3</v>
      </c>
      <c r="G67" s="0" t="n">
        <v>3</v>
      </c>
      <c r="H67" s="0" t="n">
        <v>0.15</v>
      </c>
      <c r="I67" s="0" t="n">
        <v>4</v>
      </c>
      <c r="J67" s="0" t="n">
        <v>0</v>
      </c>
      <c r="K67" s="0" t="n">
        <v>0</v>
      </c>
      <c r="L67" s="0" t="n">
        <v>1</v>
      </c>
      <c r="M67" s="2" t="n">
        <v>11.6938902348707</v>
      </c>
      <c r="N67" s="2" t="n">
        <v>10241.5332139058</v>
      </c>
      <c r="O67" s="3" t="n">
        <f aca="false">N67/E67</f>
        <v>2.09652675822022</v>
      </c>
    </row>
    <row r="68" customFormat="false" ht="12.8" hidden="false" customHeight="false" outlineLevel="0" collapsed="false">
      <c r="A68" s="0" t="n">
        <v>66</v>
      </c>
      <c r="B68" s="0" t="n">
        <v>67</v>
      </c>
      <c r="C68" s="0" t="n">
        <v>22</v>
      </c>
      <c r="D68" s="0" t="n">
        <v>15</v>
      </c>
      <c r="E68" s="0" t="n">
        <v>9599</v>
      </c>
      <c r="F68" s="0" t="n">
        <v>3</v>
      </c>
      <c r="G68" s="0" t="n">
        <v>3</v>
      </c>
      <c r="H68" s="0" t="n">
        <v>0.15</v>
      </c>
      <c r="I68" s="0" t="n">
        <v>4</v>
      </c>
      <c r="J68" s="0" t="n">
        <v>0</v>
      </c>
      <c r="K68" s="0" t="n">
        <v>0</v>
      </c>
      <c r="L68" s="0" t="n">
        <v>1</v>
      </c>
      <c r="M68" s="2" t="n">
        <v>8.801219222757</v>
      </c>
      <c r="N68" s="2" t="n">
        <v>18188.7428320666</v>
      </c>
      <c r="O68" s="3" t="n">
        <f aca="false">N68/E68</f>
        <v>1.89485809272493</v>
      </c>
    </row>
    <row r="69" customFormat="false" ht="12.8" hidden="false" customHeight="false" outlineLevel="0" collapsed="false">
      <c r="A69" s="0" t="n">
        <v>67</v>
      </c>
      <c r="B69" s="0" t="n">
        <v>68</v>
      </c>
      <c r="C69" s="0" t="n">
        <v>22</v>
      </c>
      <c r="D69" s="0" t="n">
        <v>20</v>
      </c>
      <c r="E69" s="0" t="n">
        <v>5076</v>
      </c>
      <c r="F69" s="0" t="n">
        <v>5</v>
      </c>
      <c r="G69" s="0" t="n">
        <v>5</v>
      </c>
      <c r="H69" s="0" t="n">
        <v>0.15</v>
      </c>
      <c r="I69" s="0" t="n">
        <v>4</v>
      </c>
      <c r="J69" s="0" t="n">
        <v>0</v>
      </c>
      <c r="K69" s="0" t="n">
        <v>0</v>
      </c>
      <c r="L69" s="0" t="n">
        <v>1</v>
      </c>
      <c r="M69" s="2" t="n">
        <v>7.743810985697</v>
      </c>
      <c r="N69" s="2" t="n">
        <v>7020.12499999998</v>
      </c>
      <c r="O69" s="3" t="n">
        <f aca="false">N69/E69</f>
        <v>1.38300334909377</v>
      </c>
    </row>
    <row r="70" customFormat="false" ht="12.8" hidden="false" customHeight="false" outlineLevel="0" collapsed="false">
      <c r="A70" s="0" t="n">
        <v>68</v>
      </c>
      <c r="B70" s="0" t="n">
        <v>69</v>
      </c>
      <c r="C70" s="0" t="n">
        <v>22</v>
      </c>
      <c r="D70" s="0" t="n">
        <v>21</v>
      </c>
      <c r="E70" s="0" t="n">
        <v>5230</v>
      </c>
      <c r="F70" s="0" t="n">
        <v>2</v>
      </c>
      <c r="G70" s="0" t="n">
        <v>2</v>
      </c>
      <c r="H70" s="0" t="n">
        <v>0.15</v>
      </c>
      <c r="I70" s="0" t="n">
        <v>4</v>
      </c>
      <c r="J70" s="0" t="n">
        <v>0</v>
      </c>
      <c r="K70" s="0" t="n">
        <v>0</v>
      </c>
      <c r="L70" s="0" t="n">
        <v>1</v>
      </c>
      <c r="M70" s="2" t="n">
        <v>4.56084553192649</v>
      </c>
      <c r="N70" s="2" t="n">
        <v>8939.58217597647</v>
      </c>
      <c r="O70" s="3" t="n">
        <f aca="false">N70/E70</f>
        <v>1.70928913498594</v>
      </c>
    </row>
    <row r="71" customFormat="false" ht="12.8" hidden="false" customHeight="false" outlineLevel="0" collapsed="false">
      <c r="A71" s="0" t="n">
        <v>69</v>
      </c>
      <c r="B71" s="0" t="n">
        <v>70</v>
      </c>
      <c r="C71" s="0" t="n">
        <v>22</v>
      </c>
      <c r="D71" s="0" t="n">
        <v>23</v>
      </c>
      <c r="E71" s="0" t="n">
        <v>5000</v>
      </c>
      <c r="F71" s="0" t="n">
        <v>4</v>
      </c>
      <c r="G71" s="0" t="n">
        <v>4</v>
      </c>
      <c r="H71" s="0" t="n">
        <v>0.15</v>
      </c>
      <c r="I71" s="0" t="n">
        <v>4</v>
      </c>
      <c r="J71" s="0" t="n">
        <v>0</v>
      </c>
      <c r="K71" s="0" t="n">
        <v>0</v>
      </c>
      <c r="L71" s="0" t="n">
        <v>1</v>
      </c>
      <c r="M71" s="2" t="n">
        <v>11.5316673470706</v>
      </c>
      <c r="N71" s="2" t="n">
        <v>9411.41608487131</v>
      </c>
      <c r="O71" s="3" t="n">
        <f aca="false">N71/E71</f>
        <v>1.88228321697426</v>
      </c>
    </row>
    <row r="72" customFormat="false" ht="12.8" hidden="false" customHeight="false" outlineLevel="0" collapsed="false">
      <c r="A72" s="0" t="n">
        <v>70</v>
      </c>
      <c r="B72" s="0" t="n">
        <v>71</v>
      </c>
      <c r="C72" s="0" t="n">
        <v>23</v>
      </c>
      <c r="D72" s="0" t="n">
        <v>14</v>
      </c>
      <c r="E72" s="0" t="n">
        <v>4925</v>
      </c>
      <c r="F72" s="0" t="n">
        <v>4</v>
      </c>
      <c r="G72" s="0" t="n">
        <v>4</v>
      </c>
      <c r="H72" s="0" t="n">
        <v>0.15</v>
      </c>
      <c r="I72" s="0" t="n">
        <v>4</v>
      </c>
      <c r="J72" s="0" t="n">
        <v>0</v>
      </c>
      <c r="K72" s="0" t="n">
        <v>0</v>
      </c>
      <c r="L72" s="0" t="n">
        <v>1</v>
      </c>
      <c r="M72" s="2" t="n">
        <v>7.92042559912536</v>
      </c>
      <c r="N72" s="2" t="n">
        <v>7874.11451101782</v>
      </c>
      <c r="O72" s="3" t="n">
        <f aca="false">N72/E72</f>
        <v>1.59880497685641</v>
      </c>
    </row>
    <row r="73" customFormat="false" ht="12.8" hidden="false" customHeight="false" outlineLevel="0" collapsed="false">
      <c r="A73" s="0" t="n">
        <v>71</v>
      </c>
      <c r="B73" s="0" t="n">
        <v>72</v>
      </c>
      <c r="C73" s="0" t="n">
        <v>23</v>
      </c>
      <c r="D73" s="0" t="n">
        <v>22</v>
      </c>
      <c r="E73" s="0" t="n">
        <v>5000</v>
      </c>
      <c r="F73" s="0" t="n">
        <v>4</v>
      </c>
      <c r="G73" s="0" t="n">
        <v>4</v>
      </c>
      <c r="H73" s="0" t="n">
        <v>0.15</v>
      </c>
      <c r="I73" s="0" t="n">
        <v>4</v>
      </c>
      <c r="J73" s="0" t="n">
        <v>0</v>
      </c>
      <c r="K73" s="0" t="n">
        <v>0</v>
      </c>
      <c r="L73" s="0" t="n">
        <v>1</v>
      </c>
      <c r="M73" s="2" t="n">
        <v>11.4120471957056</v>
      </c>
      <c r="N73" s="2" t="n">
        <v>9373.82271912509</v>
      </c>
      <c r="O73" s="3" t="n">
        <f aca="false">N73/E73</f>
        <v>1.87476454382502</v>
      </c>
    </row>
    <row r="74" customFormat="false" ht="12.8" hidden="false" customHeight="false" outlineLevel="0" collapsed="false">
      <c r="A74" s="0" t="n">
        <v>72</v>
      </c>
      <c r="B74" s="0" t="n">
        <v>73</v>
      </c>
      <c r="C74" s="0" t="n">
        <v>23</v>
      </c>
      <c r="D74" s="0" t="n">
        <v>24</v>
      </c>
      <c r="E74" s="0" t="n">
        <v>5079</v>
      </c>
      <c r="F74" s="0" t="n">
        <v>2</v>
      </c>
      <c r="G74" s="0" t="n">
        <v>2</v>
      </c>
      <c r="H74" s="0" t="n">
        <v>0.15</v>
      </c>
      <c r="I74" s="0" t="n">
        <v>4</v>
      </c>
      <c r="J74" s="0" t="n">
        <v>0</v>
      </c>
      <c r="K74" s="0" t="n">
        <v>0</v>
      </c>
      <c r="L74" s="0" t="n">
        <v>1</v>
      </c>
      <c r="M74" s="2" t="n">
        <v>4.47661864139827</v>
      </c>
      <c r="N74" s="2" t="n">
        <v>8609.19775031624</v>
      </c>
      <c r="O74" s="3" t="n">
        <f aca="false">N74/E74</f>
        <v>1.69505763936134</v>
      </c>
    </row>
    <row r="75" customFormat="false" ht="12.8" hidden="false" customHeight="false" outlineLevel="0" collapsed="false">
      <c r="A75" s="0" t="n">
        <v>73</v>
      </c>
      <c r="B75" s="0" t="n">
        <v>74</v>
      </c>
      <c r="C75" s="0" t="n">
        <v>24</v>
      </c>
      <c r="D75" s="0" t="n">
        <v>13</v>
      </c>
      <c r="E75" s="0" t="n">
        <v>5091</v>
      </c>
      <c r="F75" s="0" t="n">
        <v>4</v>
      </c>
      <c r="G75" s="0" t="n">
        <v>4</v>
      </c>
      <c r="H75" s="0" t="n">
        <v>0.15</v>
      </c>
      <c r="I75" s="0" t="n">
        <v>4</v>
      </c>
      <c r="J75" s="0" t="n">
        <v>0</v>
      </c>
      <c r="K75" s="0" t="n">
        <v>0</v>
      </c>
      <c r="L75" s="0" t="n">
        <v>1</v>
      </c>
      <c r="M75" s="2" t="n">
        <v>19.2823184444817</v>
      </c>
      <c r="N75" s="2" t="n">
        <v>11437.0124981852</v>
      </c>
      <c r="O75" s="3" t="n">
        <f aca="false">N75/E75</f>
        <v>2.24651591007369</v>
      </c>
    </row>
    <row r="76" customFormat="false" ht="12.8" hidden="false" customHeight="false" outlineLevel="0" collapsed="false">
      <c r="A76" s="0" t="n">
        <v>74</v>
      </c>
      <c r="B76" s="0" t="n">
        <v>75</v>
      </c>
      <c r="C76" s="0" t="n">
        <v>24</v>
      </c>
      <c r="D76" s="0" t="n">
        <v>21</v>
      </c>
      <c r="E76" s="0" t="n">
        <v>4885</v>
      </c>
      <c r="F76" s="0" t="n">
        <v>3</v>
      </c>
      <c r="G76" s="0" t="n">
        <v>3</v>
      </c>
      <c r="H76" s="0" t="n">
        <v>0.15</v>
      </c>
      <c r="I76" s="0" t="n">
        <v>4</v>
      </c>
      <c r="J76" s="0" t="n">
        <v>0</v>
      </c>
      <c r="K76" s="0" t="n">
        <v>0</v>
      </c>
      <c r="L76" s="0" t="n">
        <v>1</v>
      </c>
      <c r="M76" s="2" t="n">
        <v>11.8339544568801</v>
      </c>
      <c r="N76" s="2" t="n">
        <v>10282.5357611377</v>
      </c>
      <c r="O76" s="3" t="n">
        <f aca="false">N76/E76</f>
        <v>2.10492031957782</v>
      </c>
    </row>
    <row r="77" customFormat="false" ht="12.8" hidden="false" customHeight="false" outlineLevel="0" collapsed="false">
      <c r="A77" s="0" t="n">
        <v>75</v>
      </c>
      <c r="B77" s="0" t="n">
        <v>76</v>
      </c>
      <c r="C77" s="0" t="n">
        <v>24</v>
      </c>
      <c r="D77" s="0" t="n">
        <v>23</v>
      </c>
      <c r="E77" s="0" t="n">
        <v>5079</v>
      </c>
      <c r="F77" s="0" t="n">
        <v>2</v>
      </c>
      <c r="G77" s="0" t="n">
        <v>2</v>
      </c>
      <c r="H77" s="0" t="n">
        <v>0.15</v>
      </c>
      <c r="I77" s="0" t="n">
        <v>4</v>
      </c>
      <c r="J77" s="0" t="n">
        <v>0</v>
      </c>
      <c r="K77" s="0" t="n">
        <v>0</v>
      </c>
      <c r="L77" s="0" t="n">
        <v>1</v>
      </c>
      <c r="M77" s="2" t="n">
        <v>4.40817381508936</v>
      </c>
      <c r="N77" s="2" t="n">
        <v>8549.08936020097</v>
      </c>
      <c r="O77" s="3" t="n">
        <f aca="false">N77/E77</f>
        <v>1.68322294943906</v>
      </c>
    </row>
  </sheetData>
  <conditionalFormatting sqref="O2:O77">
    <cfRule type="colorScale" priority="2">
      <colorScale>
        <cfvo type="min" val="0"/>
        <cfvo type="max" val="0"/>
        <color rgb="FFFFF200"/>
        <color rgb="FFED1C24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2020-07-01T19:48:38Z</dcterms:modified>
  <cp:revision>2</cp:revision>
  <dc:subject/>
  <dc:title/>
</cp:coreProperties>
</file>